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expedientesGrandes.temascalcingo.gob.mx\public\plantillas\"/>
    </mc:Choice>
  </mc:AlternateContent>
  <xr:revisionPtr revIDLastSave="0" documentId="13_ncr:1_{86ABE408-EB63-469D-8224-A19778A2AAA7}" xr6:coauthVersionLast="47" xr6:coauthVersionMax="47" xr10:uidLastSave="{00000000-0000-0000-0000-000000000000}"/>
  <bookViews>
    <workbookView xWindow="-120" yWindow="-120" windowWidth="20730" windowHeight="11040" activeTab="2" xr2:uid="{7B13A69E-FB4D-4F6F-8F94-06A932BC66AF}"/>
  </bookViews>
  <sheets>
    <sheet name="Hoja1" sheetId="1" r:id="rId1"/>
    <sheet name="mod" sheetId="2" r:id="rId2"/>
    <sheet name="E.M. FINAL" sheetId="3" r:id="rId3"/>
  </sheets>
  <definedNames>
    <definedName name="_xlnm.Print_Area" localSheetId="2">'E.M. FINAL'!$A$1:$U$36</definedName>
    <definedName name="_xlnm.Print_Area" localSheetId="0">Hoja1!$A$1:$T$40</definedName>
    <definedName name="_xlnm.Print_Area" localSheetId="1">mod!$A$1:$U$36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13" i="3" l="1"/>
  <c r="K13" i="3"/>
  <c r="I15" i="2"/>
  <c r="O14" i="2"/>
  <c r="O13" i="2"/>
  <c r="F18" i="2"/>
  <c r="F13" i="2"/>
  <c r="J13" i="3" l="1"/>
  <c r="I16" i="3"/>
  <c r="O17" i="2"/>
  <c r="O16" i="2"/>
  <c r="O18" i="2"/>
  <c r="O15" i="2"/>
  <c r="F14" i="2"/>
  <c r="O19" i="2" l="1"/>
  <c r="O20" i="2" s="1"/>
  <c r="O21" i="2" s="1"/>
  <c r="G14" i="1" l="1"/>
  <c r="J14" i="1"/>
  <c r="M14" i="1"/>
  <c r="P14" i="1"/>
  <c r="G15" i="1"/>
  <c r="J15" i="1"/>
  <c r="M15" i="1"/>
  <c r="P15" i="1"/>
  <c r="G16" i="1"/>
  <c r="J16" i="1"/>
  <c r="M16" i="1"/>
  <c r="P16" i="1"/>
  <c r="J17" i="1"/>
  <c r="M17" i="1"/>
  <c r="P17" i="1"/>
  <c r="L14" i="2" l="1"/>
  <c r="K15" i="2"/>
  <c r="L15" i="2" s="1"/>
  <c r="K16" i="2"/>
  <c r="L16" i="2" s="1"/>
  <c r="L18" i="2"/>
  <c r="Q18" i="2" s="1"/>
  <c r="U13" i="2" s="1"/>
  <c r="K13" i="2"/>
  <c r="L13" i="2" s="1"/>
  <c r="I14" i="2"/>
  <c r="Q14" i="2" s="1"/>
  <c r="I16" i="2"/>
  <c r="I17" i="2"/>
  <c r="I18" i="2"/>
  <c r="I13" i="2"/>
  <c r="F17" i="2"/>
  <c r="F16" i="2"/>
  <c r="F15" i="2"/>
  <c r="Q15" i="2" s="1"/>
  <c r="P29" i="1"/>
  <c r="P30" i="1"/>
  <c r="P18" i="1"/>
  <c r="P19" i="1"/>
  <c r="P20" i="1"/>
  <c r="P21" i="1"/>
  <c r="P22" i="1"/>
  <c r="P23" i="1"/>
  <c r="P24" i="1"/>
  <c r="P25" i="1"/>
  <c r="P26" i="1"/>
  <c r="P27" i="1"/>
  <c r="P28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J30" i="1"/>
  <c r="J29" i="1"/>
  <c r="J20" i="1"/>
  <c r="J18" i="1"/>
  <c r="J19" i="1"/>
  <c r="J21" i="1"/>
  <c r="J22" i="1"/>
  <c r="J23" i="1"/>
  <c r="J24" i="1"/>
  <c r="J25" i="1"/>
  <c r="J26" i="1"/>
  <c r="J27" i="1"/>
  <c r="J28" i="1"/>
  <c r="G18" i="1"/>
  <c r="G19" i="1"/>
  <c r="G20" i="1"/>
  <c r="G21" i="1"/>
  <c r="G22" i="1"/>
  <c r="G23" i="1"/>
  <c r="G24" i="1"/>
  <c r="G25" i="1"/>
  <c r="G26" i="1"/>
  <c r="G27" i="1"/>
  <c r="G28" i="1"/>
  <c r="Q13" i="2" l="1"/>
  <c r="S13" i="2" s="1"/>
  <c r="Q17" i="2"/>
  <c r="Q16" i="2"/>
  <c r="T13" i="2" s="1"/>
  <c r="F19" i="2"/>
  <c r="F20" i="2" s="1"/>
  <c r="F21" i="2" s="1"/>
  <c r="M31" i="1"/>
  <c r="P31" i="1"/>
  <c r="G31" i="1"/>
  <c r="J31" i="1"/>
  <c r="L19" i="2"/>
  <c r="L20" i="2" s="1"/>
  <c r="L21" i="2" s="1"/>
  <c r="I19" i="2"/>
  <c r="I20" i="2" s="1"/>
  <c r="I21" i="2" s="1"/>
  <c r="P32" i="1" l="1"/>
  <c r="P33" i="1" s="1"/>
  <c r="M32" i="1"/>
  <c r="M33" i="1" s="1"/>
  <c r="G32" i="1" l="1"/>
  <c r="J32" i="1"/>
  <c r="J33" i="1" s="1"/>
  <c r="G33" i="1" l="1"/>
  <c r="R14" i="1" s="1"/>
</calcChain>
</file>

<file path=xl/sharedStrings.xml><?xml version="1.0" encoding="utf-8"?>
<sst xmlns="http://schemas.openxmlformats.org/spreadsheetml/2006/main" count="202" uniqueCount="91">
  <si>
    <t xml:space="preserve">ÁREA USUARIA / SOLICITANTE: </t>
  </si>
  <si>
    <t>FECHA:</t>
  </si>
  <si>
    <t>PARTIDA PRESUPUESTAL</t>
  </si>
  <si>
    <t>NOMBRE O RAZÓN SOCIAL</t>
  </si>
  <si>
    <t>UNIDAD DE MEDIDA</t>
  </si>
  <si>
    <t>CANTIDAD</t>
  </si>
  <si>
    <t>PARTIDA</t>
  </si>
  <si>
    <t xml:space="preserve">DESCRIPCIÓN </t>
  </si>
  <si>
    <t>PRECIOS</t>
  </si>
  <si>
    <t>MARCA. MODELO. OBS.</t>
  </si>
  <si>
    <t>UNITARIO</t>
  </si>
  <si>
    <t>TOTAL</t>
  </si>
  <si>
    <t>SUBTOTAL</t>
  </si>
  <si>
    <t>IVA</t>
  </si>
  <si>
    <t xml:space="preserve">                                                </t>
  </si>
  <si>
    <t>ELABORÓ</t>
  </si>
  <si>
    <t>AUTORIZÓ</t>
  </si>
  <si>
    <t>C. PAULO SERGIO HERNÁNDEZ CUADRIELLO</t>
  </si>
  <si>
    <t>C. MIRIAM VIANEY OVANDO RUBIO</t>
  </si>
  <si>
    <t>PIEZA</t>
  </si>
  <si>
    <t>IVA INCLUIDO</t>
  </si>
  <si>
    <t>.</t>
  </si>
  <si>
    <t>PRECIO DE REFERENCIA</t>
  </si>
  <si>
    <t>Camión Pipa para agua con: Volkswagen ROBUST 17.230, modelo 2025, 4X2 y con Tanque cisterna de agua de 10,000 litros. (1 EJE TRASERO)</t>
  </si>
  <si>
    <t>Camión de Compactador de basura con: Volkswagen ROBUST 11.180, modelo 2025, 4X2 y con Compactador de 10 yardas. (1 EJE TRASERO)</t>
  </si>
  <si>
    <t>ONDEFEND</t>
  </si>
  <si>
    <t>Camión de Volteo con: Volkswagen ROBUST 
17.230, modelo 2025, 4X2 y con volteo de 7 
metros cúbicos.(1 EJE TRASERO)</t>
  </si>
  <si>
    <t>Excavadora Hidráulica Marca Caterpillar, Modelo 320GX</t>
  </si>
  <si>
    <t>Retroexcavadora Cargadora Marca Caterpillar, Modelo CAT 416</t>
  </si>
  <si>
    <t>Compactador de Suelo Marca SEM, modelo SEM 520</t>
  </si>
  <si>
    <t>Motoniveladora Marca SEM modelo SEM919</t>
  </si>
  <si>
    <t>Excavadora CASE CX220C LC</t>
  </si>
  <si>
    <t>Retroexcavadora CASE 580 N</t>
  </si>
  <si>
    <t>Compactador de Suelo CASE 1107EX</t>
  </si>
  <si>
    <t>Motoniveladora CASE 845B</t>
  </si>
  <si>
    <t>Retroexcavadora cargadora HAAS Model HC-BX83</t>
  </si>
  <si>
    <t>Compactador de Suelo HAAS Modelo HC RX12</t>
  </si>
  <si>
    <t>Motoniveladora HAAS HC-GM190</t>
  </si>
  <si>
    <t>EQUIREC</t>
  </si>
  <si>
    <t>CATERPILLAR CB1.8</t>
  </si>
  <si>
    <t>CAMIONETA RAM 4000</t>
  </si>
  <si>
    <t>INTERNACIONAL</t>
  </si>
  <si>
    <t>INTERNATIONAL</t>
  </si>
  <si>
    <t>Camión de Compactador de basura con: CITYSTAR CLASE 6, modelo 2025, 4X2 y con Compactador de 15 yardas. (1 EJE TRASERO)</t>
  </si>
  <si>
    <t>SELKAR</t>
  </si>
  <si>
    <t>SANY</t>
  </si>
  <si>
    <t>sany</t>
  </si>
  <si>
    <t>ford f 350</t>
  </si>
  <si>
    <t>foton s6 + compactador lateral</t>
  </si>
  <si>
    <t>camioneta PC</t>
  </si>
  <si>
    <t>auto utilitario</t>
  </si>
  <si>
    <t>f150 V6</t>
  </si>
  <si>
    <t>versa sense tm</t>
  </si>
  <si>
    <t>GM</t>
  </si>
  <si>
    <t>INTERNATIONAL 2026</t>
  </si>
  <si>
    <t>VOLKSWAGEN</t>
  </si>
  <si>
    <t>ESTUDIO DE MERCADO DE MAQUINARIA</t>
  </si>
  <si>
    <t>EQUIPOS RECOLECTORES, S.A. DE C.V.</t>
  </si>
  <si>
    <t>GRUPO CARROCERO EICSA, S.A. DE C.V.</t>
  </si>
  <si>
    <t>TRACSA, S.A. DE C.V.</t>
  </si>
  <si>
    <t xml:space="preserve">MARCA Y/O MODELO </t>
  </si>
  <si>
    <t>CAMIÓN DE VOLTEO MODELO 2025, 4X2 Y CON VOLTEO DE 7 
METROS CÚBICOS. (1 EJE TRASERO)</t>
  </si>
  <si>
    <t>CAMIÓN DE COMPACTADOR DE BASURA, MODELO 2025, 4X2 Y CON COMPACTADOR DE 15 YARDAS. (1 EJE TRASERO)</t>
  </si>
  <si>
    <t>EXCAVADORA HIDRÁULICA</t>
  </si>
  <si>
    <t xml:space="preserve">RETROEXCAVADORA CARGADORA </t>
  </si>
  <si>
    <t xml:space="preserve">MOTONIVELADORA, </t>
  </si>
  <si>
    <t>CAMIONETA PICK UP DOBLE CABINA</t>
  </si>
  <si>
    <t>REMOLQUES Y PLATAFORMAS DE TOLUCA, S.A. DE C.V.</t>
  </si>
  <si>
    <t>PARTIDAS 1 Y 2</t>
  </si>
  <si>
    <t>PARTIDAS 3, 4 Y 5</t>
  </si>
  <si>
    <t>PARTIDA 6</t>
  </si>
  <si>
    <t>C. PAULO SERGIO HERNÁNDEZ CUADRIELLO
COORDINADOR DE ADQUISICIONES Y SERVICIOS</t>
  </si>
  <si>
    <t>C. MIRIAM VIANEY OVANDO RUBIO
DIRECTORA DE ADMINISTRACIÓN Y DESARROLLO DE PERSONAL</t>
  </si>
  <si>
    <t>DIRECCIÓN DE SERVICIOS PÚBLICOS Y DIRECCIÓN DE OBRAS PÚBLICAS</t>
  </si>
  <si>
    <t>“ADQUISICIÓN DE VEHÍCULOS PARA RECOLECCIÓN DE BASURA, MAQUINARIA PARA LA DIRECCIÓN DE OBRAS PÚBLICAS Y COMPRA DE VEHÍCULOS UTILITARIOS PARA LA DIRECCIÓN DE OBRAS PÚBLICAS”</t>
  </si>
  <si>
    <t>PARTIDAS 4</t>
  </si>
  <si>
    <t>PARTIDAS 1, 2 Y 3</t>
  </si>
  <si>
    <t>PARTIDA 5 Y 6</t>
  </si>
  <si>
    <t>${area}</t>
  </si>
  <si>
    <t>${created_at}</t>
  </si>
  <si>
    <t>${nombre_estudio}</t>
  </si>
  <si>
    <t>${proveedor}</t>
  </si>
  <si>
    <t>${partida}</t>
  </si>
  <si>
    <t>${producto_servicio}</t>
  </si>
  <si>
    <t>${unidad_medida}</t>
  </si>
  <si>
    <t>${cantidad}</t>
  </si>
  <si>
    <t>${precio_unitario}</t>
  </si>
  <si>
    <t>${precio_total}</t>
  </si>
  <si>
    <t>${subtotal}</t>
  </si>
  <si>
    <t>${iva}</t>
  </si>
  <si>
    <t>${total}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</si>
</sst>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i/>
      <sz val="12"/>
      <color theme="1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3"/>
      <color theme="1"/>
      <name val="Arial"/>
      <family val="2"/>
    </font>
    <font>
      <b/>
      <sz val="14"/>
      <color theme="1"/>
      <name val="Arial"/>
      <family val="2"/>
    </font>
    <font>
      <b/>
      <sz val="14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2">
    <xf numFmtId="0" fontId="0" fillId="0" borderId="0" xfId="0"/>
    <xf numFmtId="0" fontId="2" fillId="0" borderId="2" xfId="0" applyFont="1" applyBorder="1"/>
    <xf numFmtId="0" fontId="3" fillId="0" borderId="3" xfId="0" applyFont="1" applyBorder="1"/>
    <xf numFmtId="0" fontId="2" fillId="0" borderId="0" xfId="0" applyFont="1"/>
    <xf numFmtId="2" fontId="2" fillId="0" borderId="0" xfId="0" applyNumberFormat="1" applyFont="1"/>
    <xf numFmtId="0" fontId="2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0" xfId="0" applyFont="1"/>
    <xf numFmtId="4" fontId="2" fillId="2" borderId="10" xfId="0" applyNumberFormat="1" applyFont="1" applyFill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4" fontId="8" fillId="0" borderId="1" xfId="0" applyNumberFormat="1" applyFont="1" applyBorder="1" applyAlignment="1">
      <alignment horizontal="center" vertical="center" wrapText="1"/>
    </xf>
    <xf numFmtId="0" fontId="7" fillId="4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44" fontId="7" fillId="4" borderId="11" xfId="1" applyFont="1" applyFill="1" applyBorder="1" applyAlignment="1">
      <alignment horizontal="right" vertical="center"/>
    </xf>
    <xf numFmtId="44" fontId="9" fillId="4" borderId="11" xfId="1" applyFont="1" applyFill="1" applyBorder="1" applyAlignment="1">
      <alignment horizontal="center" vertical="center"/>
    </xf>
    <xf numFmtId="44" fontId="9" fillId="4" borderId="0" xfId="1" applyFont="1" applyFill="1" applyBorder="1" applyAlignment="1">
      <alignment horizontal="center" vertical="center"/>
    </xf>
    <xf numFmtId="44" fontId="7" fillId="4" borderId="1" xfId="1" applyFont="1" applyFill="1" applyBorder="1" applyAlignment="1">
      <alignment horizontal="center" vertical="center"/>
    </xf>
    <xf numFmtId="44" fontId="9" fillId="4" borderId="1" xfId="1" applyFont="1" applyFill="1" applyBorder="1" applyAlignment="1">
      <alignment horizontal="center" vertical="center"/>
    </xf>
    <xf numFmtId="4" fontId="8" fillId="4" borderId="0" xfId="0" applyNumberFormat="1" applyFont="1" applyFill="1" applyAlignment="1">
      <alignment horizontal="justify" vertical="top"/>
    </xf>
    <xf numFmtId="0" fontId="11" fillId="0" borderId="0" xfId="0" applyFont="1" applyAlignment="1">
      <alignment horizontal="center" wrapText="1"/>
    </xf>
    <xf numFmtId="44" fontId="9" fillId="4" borderId="0" xfId="1" applyFont="1" applyFill="1" applyBorder="1" applyAlignment="1">
      <alignment horizontal="right" vertical="center"/>
    </xf>
    <xf numFmtId="0" fontId="2" fillId="2" borderId="4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7" fillId="0" borderId="6" xfId="0" applyFont="1" applyBorder="1" applyAlignment="1">
      <alignment horizontal="center" vertical="center"/>
    </xf>
    <xf numFmtId="4" fontId="8" fillId="0" borderId="7" xfId="0" applyNumberFormat="1" applyFont="1" applyBorder="1" applyAlignment="1">
      <alignment horizontal="left" vertical="center" wrapText="1"/>
    </xf>
    <xf numFmtId="4" fontId="8" fillId="0" borderId="7" xfId="0" applyNumberFormat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4" fontId="8" fillId="0" borderId="7" xfId="0" applyNumberFormat="1" applyFont="1" applyBorder="1" applyAlignment="1">
      <alignment horizontal="center" vertical="center"/>
    </xf>
    <xf numFmtId="0" fontId="0" fillId="0" borderId="1" xfId="0" applyBorder="1"/>
    <xf numFmtId="0" fontId="10" fillId="0" borderId="15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/>
    </xf>
    <xf numFmtId="4" fontId="8" fillId="0" borderId="9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 shrinkToFit="1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4" fontId="8" fillId="0" borderId="21" xfId="0" applyNumberFormat="1" applyFont="1" applyBorder="1" applyAlignment="1">
      <alignment horizontal="center" vertical="center"/>
    </xf>
    <xf numFmtId="4" fontId="8" fillId="0" borderId="11" xfId="0" applyNumberFormat="1" applyFont="1" applyBorder="1" applyAlignment="1">
      <alignment horizontal="center" vertical="center"/>
    </xf>
    <xf numFmtId="4" fontId="8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44" fontId="7" fillId="0" borderId="11" xfId="1" applyFont="1" applyFill="1" applyBorder="1" applyAlignment="1">
      <alignment horizontal="right" vertical="center"/>
    </xf>
    <xf numFmtId="44" fontId="7" fillId="0" borderId="1" xfId="1" applyFont="1" applyFill="1" applyBorder="1" applyAlignment="1">
      <alignment horizontal="center" vertical="center"/>
    </xf>
    <xf numFmtId="44" fontId="9" fillId="0" borderId="0" xfId="1" applyFont="1" applyFill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" fontId="8" fillId="0" borderId="1" xfId="0" applyNumberFormat="1" applyFont="1" applyBorder="1" applyAlignment="1">
      <alignment horizontal="left" vertical="center" wrapText="1"/>
    </xf>
    <xf numFmtId="0" fontId="0" fillId="0" borderId="24" xfId="0" applyBorder="1"/>
    <xf numFmtId="44" fontId="8" fillId="0" borderId="1" xfId="0" applyNumberFormat="1" applyFont="1" applyBorder="1" applyAlignment="1">
      <alignment horizontal="center" vertical="center"/>
    </xf>
    <xf numFmtId="44" fontId="9" fillId="0" borderId="11" xfId="1" applyFont="1" applyFill="1" applyBorder="1" applyAlignment="1">
      <alignment horizontal="center" vertical="center"/>
    </xf>
    <xf numFmtId="44" fontId="9" fillId="0" borderId="1" xfId="1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44" fontId="8" fillId="0" borderId="7" xfId="0" applyNumberFormat="1" applyFont="1" applyBorder="1" applyAlignment="1">
      <alignment horizontal="center" vertical="center"/>
    </xf>
    <xf numFmtId="4" fontId="8" fillId="0" borderId="27" xfId="0" applyNumberFormat="1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4" fontId="8" fillId="0" borderId="28" xfId="0" applyNumberFormat="1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left" vertical="center" wrapText="1"/>
    </xf>
    <xf numFmtId="4" fontId="8" fillId="0" borderId="10" xfId="0" applyNumberFormat="1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44" fontId="8" fillId="0" borderId="10" xfId="0" applyNumberFormat="1" applyFont="1" applyBorder="1" applyAlignment="1">
      <alignment horizontal="center" vertical="center"/>
    </xf>
    <xf numFmtId="4" fontId="8" fillId="0" borderId="10" xfId="0" applyNumberFormat="1" applyFont="1" applyBorder="1" applyAlignment="1">
      <alignment horizontal="center" vertical="center"/>
    </xf>
    <xf numFmtId="4" fontId="8" fillId="0" borderId="30" xfId="0" applyNumberFormat="1" applyFont="1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4" fontId="2" fillId="2" borderId="9" xfId="0" applyNumberFormat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left" vertical="center" wrapText="1"/>
    </xf>
    <xf numFmtId="4" fontId="8" fillId="5" borderId="7" xfId="0" applyNumberFormat="1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44" fontId="8" fillId="5" borderId="7" xfId="0" applyNumberFormat="1" applyFont="1" applyFill="1" applyBorder="1" applyAlignment="1">
      <alignment horizontal="center" vertical="center"/>
    </xf>
    <xf numFmtId="4" fontId="8" fillId="5" borderId="7" xfId="0" applyNumberFormat="1" applyFont="1" applyFill="1" applyBorder="1" applyAlignment="1">
      <alignment horizontal="center" vertical="center"/>
    </xf>
    <xf numFmtId="164" fontId="0" fillId="5" borderId="26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44" fontId="9" fillId="5" borderId="11" xfId="1" applyFont="1" applyFill="1" applyBorder="1" applyAlignment="1">
      <alignment horizontal="center" vertical="center"/>
    </xf>
    <xf numFmtId="44" fontId="9" fillId="5" borderId="1" xfId="1" applyFont="1" applyFill="1" applyBorder="1" applyAlignment="1">
      <alignment horizontal="center" vertical="center"/>
    </xf>
    <xf numFmtId="14" fontId="4" fillId="5" borderId="1" xfId="0" applyNumberFormat="1" applyFont="1" applyFill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4" fontId="2" fillId="2" borderId="9" xfId="0" applyNumberFormat="1" applyFont="1" applyFill="1" applyBorder="1" applyAlignment="1">
      <alignment horizontal="center" vertical="center" wrapText="1"/>
    </xf>
    <xf numFmtId="4" fontId="2" fillId="2" borderId="1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" fontId="2" fillId="2" borderId="16" xfId="0" applyNumberFormat="1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164" fontId="8" fillId="0" borderId="12" xfId="0" applyNumberFormat="1" applyFont="1" applyBorder="1" applyAlignment="1">
      <alignment horizontal="center" vertical="center" wrapText="1" shrinkToFit="1"/>
    </xf>
    <xf numFmtId="164" fontId="8" fillId="0" borderId="0" xfId="0" applyNumberFormat="1" applyFont="1" applyAlignment="1">
      <alignment horizontal="center" vertical="center" wrapText="1" shrinkToFit="1"/>
    </xf>
    <xf numFmtId="0" fontId="6" fillId="0" borderId="0" xfId="0" applyFont="1" applyAlignment="1">
      <alignment horizontal="center" vertical="center" wrapText="1" shrinkToFit="1"/>
    </xf>
    <xf numFmtId="0" fontId="2" fillId="3" borderId="12" xfId="0" applyFont="1" applyFill="1" applyBorder="1" applyAlignment="1">
      <alignment horizontal="center" vertical="center" wrapText="1" shrinkToFit="1"/>
    </xf>
    <xf numFmtId="0" fontId="2" fillId="3" borderId="0" xfId="0" applyFont="1" applyFill="1" applyAlignment="1">
      <alignment horizontal="center" vertical="center" wrapText="1" shrinkToFit="1"/>
    </xf>
    <xf numFmtId="0" fontId="2" fillId="2" borderId="1" xfId="0" applyFont="1" applyFill="1" applyBorder="1" applyAlignment="1">
      <alignment horizontal="center" vertical="center" wrapText="1"/>
    </xf>
    <xf numFmtId="0" fontId="11" fillId="0" borderId="12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 wrapText="1"/>
    </xf>
    <xf numFmtId="44" fontId="8" fillId="0" borderId="3" xfId="0" applyNumberFormat="1" applyFont="1" applyBorder="1" applyAlignment="1">
      <alignment horizontal="center" vertical="center" wrapText="1" shrinkToFit="1"/>
    </xf>
    <xf numFmtId="44" fontId="8" fillId="0" borderId="1" xfId="0" applyNumberFormat="1" applyFont="1" applyBorder="1" applyAlignment="1">
      <alignment horizontal="center" vertical="center" wrapText="1" shrinkToFit="1"/>
    </xf>
    <xf numFmtId="0" fontId="2" fillId="2" borderId="30" xfId="0" applyFont="1" applyFill="1" applyBorder="1" applyAlignment="1">
      <alignment horizontal="center" vertical="center" wrapText="1"/>
    </xf>
    <xf numFmtId="44" fontId="8" fillId="0" borderId="26" xfId="0" applyNumberFormat="1" applyFont="1" applyBorder="1" applyAlignment="1">
      <alignment horizontal="center" vertical="center" wrapText="1" shrinkToFit="1"/>
    </xf>
    <xf numFmtId="44" fontId="8" fillId="0" borderId="11" xfId="0" applyNumberFormat="1" applyFont="1" applyBorder="1" applyAlignment="1">
      <alignment horizontal="center" vertical="center" wrapText="1" shrinkToFit="1"/>
    </xf>
    <xf numFmtId="0" fontId="2" fillId="3" borderId="13" xfId="0" applyFont="1" applyFill="1" applyBorder="1" applyAlignment="1">
      <alignment horizontal="center" vertical="center" wrapText="1" shrinkToFit="1"/>
    </xf>
    <xf numFmtId="0" fontId="2" fillId="3" borderId="18" xfId="0" applyFont="1" applyFill="1" applyBorder="1" applyAlignment="1">
      <alignment horizontal="center" vertical="center" wrapText="1" shrinkToFit="1"/>
    </xf>
    <xf numFmtId="0" fontId="2" fillId="3" borderId="32" xfId="0" applyFont="1" applyFill="1" applyBorder="1" applyAlignment="1">
      <alignment horizontal="center" vertical="center" wrapText="1" shrinkToFit="1"/>
    </xf>
    <xf numFmtId="0" fontId="2" fillId="3" borderId="4" xfId="0" applyFont="1" applyFill="1" applyBorder="1" applyAlignment="1">
      <alignment horizontal="center" vertical="center" wrapText="1" shrinkToFit="1"/>
    </xf>
    <xf numFmtId="0" fontId="2" fillId="3" borderId="31" xfId="0" applyFont="1" applyFill="1" applyBorder="1" applyAlignment="1">
      <alignment horizontal="center" vertical="center" wrapText="1" shrinkToFit="1"/>
    </xf>
    <xf numFmtId="0" fontId="2" fillId="3" borderId="33" xfId="0" applyFont="1" applyFill="1" applyBorder="1" applyAlignment="1">
      <alignment horizontal="center" vertical="center" wrapText="1" shrinkToFit="1"/>
    </xf>
    <xf numFmtId="0" fontId="2" fillId="3" borderId="25" xfId="0" applyFont="1" applyFill="1" applyBorder="1" applyAlignment="1">
      <alignment horizontal="center" vertical="center" wrapText="1" shrinkToFit="1"/>
    </xf>
    <xf numFmtId="0" fontId="2" fillId="3" borderId="34" xfId="0" applyFont="1" applyFill="1" applyBorder="1" applyAlignment="1">
      <alignment horizontal="center" vertical="center" wrapText="1" shrinkToFit="1"/>
    </xf>
    <xf numFmtId="0" fontId="2" fillId="3" borderId="35" xfId="0" applyFont="1" applyFill="1" applyBorder="1" applyAlignment="1">
      <alignment horizontal="center" vertical="center" wrapText="1" shrinkToFi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 shrinkToFit="1"/>
    </xf>
    <xf numFmtId="0" fontId="2" fillId="3" borderId="10" xfId="0" applyFont="1" applyFill="1" applyBorder="1" applyAlignment="1">
      <alignment horizontal="center" vertical="center" wrapText="1" shrinkToFit="1"/>
    </xf>
    <xf numFmtId="0" fontId="2" fillId="3" borderId="28" xfId="0" applyFont="1" applyFill="1" applyBorder="1" applyAlignment="1">
      <alignment horizontal="center" vertical="center" wrapText="1" shrinkToFit="1"/>
    </xf>
    <xf numFmtId="0" fontId="2" fillId="3" borderId="30" xfId="0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44" fontId="8" fillId="5" borderId="11" xfId="0" applyNumberFormat="1" applyFont="1" applyFill="1" applyBorder="1" applyAlignment="1">
      <alignment horizontal="center" vertical="center" wrapText="1" shrinkToFit="1"/>
    </xf>
    <xf numFmtId="0" fontId="11" fillId="5" borderId="12" xfId="0" applyFont="1" applyFill="1" applyBorder="1" applyAlignment="1">
      <alignment horizontal="left" wrapText="1"/>
    </xf>
    <xf numFmtId="0" fontId="11" fillId="5" borderId="0" xfId="0" applyFont="1" applyFill="1" applyAlignment="1">
      <alignment horizontal="left" wrapText="1"/>
    </xf>
    <xf numFmtId="0" fontId="8" fillId="5" borderId="26" xfId="0" applyNumberFormat="1" applyFont="1" applyFill="1" applyBorder="1" applyAlignment="1">
      <alignment horizontal="center" vertical="center" wrapText="1" shrinkToFi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F00D-A539-45D2-8DDA-D7700528F8C2}">
  <sheetPr>
    <pageSetUpPr fitToPage="1"/>
  </sheetPr>
  <dimension ref="A1:T39"/>
  <sheetViews>
    <sheetView view="pageBreakPreview" topLeftCell="A15" zoomScale="80" zoomScaleNormal="70" zoomScaleSheetLayoutView="80" workbookViewId="0">
      <selection activeCell="A14" sqref="A14:XFD17"/>
    </sheetView>
  </sheetViews>
  <sheetFormatPr baseColWidth="10" defaultColWidth="11.5703125" defaultRowHeight="15" x14ac:dyDescent="0.25"/>
  <cols>
    <col min="2" max="2" width="38" bestFit="1" customWidth="1"/>
    <col min="3" max="3" width="58.140625" bestFit="1" customWidth="1"/>
    <col min="4" max="5" width="12.7109375" customWidth="1"/>
    <col min="6" max="6" width="16.7109375" bestFit="1" customWidth="1"/>
    <col min="7" max="7" width="19.42578125" bestFit="1" customWidth="1"/>
    <col min="8" max="8" width="27.28515625" bestFit="1" customWidth="1"/>
    <col min="9" max="9" width="19.7109375" customWidth="1"/>
    <col min="10" max="10" width="19.28515625" customWidth="1"/>
    <col min="11" max="11" width="36" customWidth="1"/>
    <col min="12" max="12" width="15" bestFit="1" customWidth="1"/>
    <col min="13" max="13" width="19.28515625" bestFit="1" customWidth="1"/>
    <col min="14" max="14" width="36" bestFit="1" customWidth="1"/>
    <col min="15" max="15" width="15" bestFit="1" customWidth="1"/>
    <col min="16" max="16" width="19.28515625" bestFit="1" customWidth="1"/>
    <col min="17" max="17" width="36" bestFit="1" customWidth="1"/>
  </cols>
  <sheetData>
    <row r="1" spans="1:20" ht="15.75" customHeight="1" x14ac:dyDescent="0.25">
      <c r="A1" s="85" t="s">
        <v>56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31"/>
      <c r="M1" s="31"/>
      <c r="N1" s="31"/>
      <c r="O1" s="31"/>
      <c r="P1" s="31"/>
    </row>
    <row r="2" spans="1:20" ht="18" customHeight="1" x14ac:dyDescent="0.25">
      <c r="A2" s="85"/>
      <c r="B2" s="86"/>
      <c r="C2" s="86"/>
      <c r="D2" s="86"/>
      <c r="E2" s="86"/>
      <c r="F2" s="86"/>
      <c r="G2" s="86"/>
      <c r="H2" s="86"/>
      <c r="I2" s="86"/>
      <c r="J2" s="86"/>
      <c r="K2" s="86"/>
      <c r="L2" s="3"/>
      <c r="Q2" s="4"/>
      <c r="R2" s="3"/>
    </row>
    <row r="3" spans="1:20" ht="15.75" x14ac:dyDescent="0.25">
      <c r="A3" s="85"/>
      <c r="B3" s="86"/>
      <c r="C3" s="86"/>
      <c r="D3" s="86"/>
      <c r="E3" s="86"/>
      <c r="F3" s="86"/>
      <c r="G3" s="86"/>
      <c r="H3" s="86"/>
      <c r="I3" s="86"/>
      <c r="J3" s="86"/>
      <c r="K3" s="86"/>
      <c r="L3" s="3"/>
      <c r="M3" s="3"/>
      <c r="N3" s="3"/>
      <c r="O3" s="4"/>
      <c r="P3" s="3" t="s">
        <v>14</v>
      </c>
      <c r="Q3" s="4"/>
      <c r="R3" s="3"/>
    </row>
    <row r="4" spans="1:20" ht="15.75" x14ac:dyDescent="0.25">
      <c r="A4" s="85"/>
      <c r="B4" s="86"/>
      <c r="C4" s="86"/>
      <c r="D4" s="86"/>
      <c r="E4" s="86"/>
      <c r="F4" s="86"/>
      <c r="G4" s="86"/>
      <c r="H4" s="86"/>
      <c r="I4" s="86"/>
      <c r="J4" s="86"/>
      <c r="K4" s="86"/>
      <c r="L4" s="3"/>
      <c r="M4" s="3"/>
      <c r="N4" s="3"/>
      <c r="O4" s="4"/>
      <c r="P4" s="3"/>
      <c r="Q4" s="4"/>
      <c r="R4" s="3"/>
    </row>
    <row r="5" spans="1:20" ht="18" x14ac:dyDescent="0.25"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"/>
    </row>
    <row r="6" spans="1:20" ht="18" x14ac:dyDescent="0.25">
      <c r="B6" s="31"/>
      <c r="C6" s="31"/>
      <c r="D6" s="31"/>
      <c r="E6" s="31"/>
      <c r="F6" s="31"/>
      <c r="G6" s="31"/>
      <c r="H6" s="31"/>
      <c r="I6" s="87"/>
      <c r="J6" s="87"/>
      <c r="K6" s="87"/>
      <c r="L6" s="87"/>
      <c r="M6" s="87"/>
      <c r="N6" s="87"/>
      <c r="O6" s="87"/>
      <c r="P6" s="87"/>
      <c r="Q6" s="87"/>
      <c r="R6" s="3"/>
    </row>
    <row r="7" spans="1:20" ht="18" x14ac:dyDescent="0.25">
      <c r="B7" s="1" t="s">
        <v>0</v>
      </c>
      <c r="C7" s="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"/>
    </row>
    <row r="8" spans="1:20" ht="18" x14ac:dyDescent="0.25">
      <c r="B8" s="5" t="s">
        <v>1</v>
      </c>
      <c r="C8" s="6">
        <v>45833</v>
      </c>
      <c r="D8" s="32"/>
      <c r="E8" s="32"/>
      <c r="F8" s="32"/>
      <c r="G8" s="32"/>
      <c r="H8" s="32"/>
      <c r="R8" s="3"/>
    </row>
    <row r="9" spans="1:20" ht="18.75" thickBot="1" x14ac:dyDescent="0.3">
      <c r="B9" s="20"/>
      <c r="C9" s="20"/>
      <c r="D9" s="20"/>
      <c r="E9" s="20"/>
      <c r="F9" s="20"/>
      <c r="H9" s="20"/>
      <c r="I9" s="20"/>
      <c r="L9" s="20"/>
      <c r="O9" s="20"/>
      <c r="R9" s="7"/>
    </row>
    <row r="10" spans="1:20" ht="15.75" customHeight="1" thickBot="1" x14ac:dyDescent="0.3">
      <c r="B10" s="22" t="s">
        <v>2</v>
      </c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109"/>
      <c r="P10" s="109"/>
      <c r="Q10" s="109"/>
      <c r="R10" s="109"/>
    </row>
    <row r="11" spans="1:20" ht="15.75" customHeight="1" x14ac:dyDescent="0.25">
      <c r="B11" s="99" t="s">
        <v>3</v>
      </c>
      <c r="C11" s="100"/>
      <c r="D11" s="101" t="s">
        <v>4</v>
      </c>
      <c r="E11" s="101" t="s">
        <v>5</v>
      </c>
      <c r="F11" s="104" t="s">
        <v>25</v>
      </c>
      <c r="G11" s="105"/>
      <c r="H11" s="106"/>
      <c r="I11" s="104" t="s">
        <v>38</v>
      </c>
      <c r="J11" s="105"/>
      <c r="K11" s="106"/>
      <c r="L11" s="104" t="s">
        <v>44</v>
      </c>
      <c r="M11" s="105"/>
      <c r="N11" s="106"/>
      <c r="O11" s="104" t="s">
        <v>53</v>
      </c>
      <c r="P11" s="105"/>
      <c r="Q11" s="106"/>
      <c r="R11" s="110" t="s">
        <v>22</v>
      </c>
      <c r="S11" s="111"/>
      <c r="T11" s="111"/>
    </row>
    <row r="12" spans="1:20" ht="15.75" x14ac:dyDescent="0.25">
      <c r="B12" s="95" t="s">
        <v>6</v>
      </c>
      <c r="C12" s="97" t="s">
        <v>7</v>
      </c>
      <c r="D12" s="102"/>
      <c r="E12" s="102"/>
      <c r="F12" s="92" t="s">
        <v>8</v>
      </c>
      <c r="G12" s="93"/>
      <c r="H12" s="90" t="s">
        <v>9</v>
      </c>
      <c r="I12" s="92" t="s">
        <v>8</v>
      </c>
      <c r="J12" s="93"/>
      <c r="K12" s="90" t="s">
        <v>9</v>
      </c>
      <c r="L12" s="92" t="s">
        <v>8</v>
      </c>
      <c r="M12" s="93"/>
      <c r="N12" s="90" t="s">
        <v>9</v>
      </c>
      <c r="O12" s="92" t="s">
        <v>8</v>
      </c>
      <c r="P12" s="93"/>
      <c r="Q12" s="90" t="s">
        <v>9</v>
      </c>
      <c r="R12" s="110"/>
      <c r="S12" s="111"/>
      <c r="T12" s="111"/>
    </row>
    <row r="13" spans="1:20" ht="17.45" customHeight="1" thickBot="1" x14ac:dyDescent="0.3">
      <c r="B13" s="96"/>
      <c r="C13" s="98"/>
      <c r="D13" s="103"/>
      <c r="E13" s="103"/>
      <c r="F13" s="8" t="s">
        <v>10</v>
      </c>
      <c r="G13" s="8" t="s">
        <v>11</v>
      </c>
      <c r="H13" s="94"/>
      <c r="I13" s="8" t="s">
        <v>10</v>
      </c>
      <c r="J13" s="8" t="s">
        <v>11</v>
      </c>
      <c r="K13" s="91"/>
      <c r="L13" s="8" t="s">
        <v>10</v>
      </c>
      <c r="M13" s="8" t="s">
        <v>11</v>
      </c>
      <c r="N13" s="91"/>
      <c r="O13" s="8" t="s">
        <v>10</v>
      </c>
      <c r="P13" s="8" t="s">
        <v>11</v>
      </c>
      <c r="Q13" s="91"/>
      <c r="R13" s="110"/>
      <c r="S13" s="111"/>
      <c r="T13" s="111"/>
    </row>
    <row r="14" spans="1:20" ht="50.25" thickBot="1" x14ac:dyDescent="0.3">
      <c r="B14" s="24">
        <v>1</v>
      </c>
      <c r="C14" s="25" t="s">
        <v>26</v>
      </c>
      <c r="D14" s="26" t="s">
        <v>19</v>
      </c>
      <c r="E14" s="27">
        <v>1</v>
      </c>
      <c r="F14" s="28">
        <v>2268775</v>
      </c>
      <c r="G14" s="28">
        <f>F14*E14</f>
        <v>2268775</v>
      </c>
      <c r="H14" s="26"/>
      <c r="I14" s="28">
        <v>2171034.48</v>
      </c>
      <c r="J14" s="28">
        <f>I14*E14</f>
        <v>2171034.48</v>
      </c>
      <c r="K14" s="29" t="s">
        <v>41</v>
      </c>
      <c r="L14" s="28">
        <v>2221565.4</v>
      </c>
      <c r="M14" s="28">
        <f>L14*E14</f>
        <v>2221565.4</v>
      </c>
      <c r="N14" s="29"/>
      <c r="O14" s="28">
        <v>2417280</v>
      </c>
      <c r="P14" s="28">
        <f>O14*E14</f>
        <v>2417280</v>
      </c>
      <c r="Q14" s="29" t="s">
        <v>54</v>
      </c>
      <c r="R14" s="107">
        <f>(G33+J33+M33+P33)/4</f>
        <v>26314945.015899997</v>
      </c>
      <c r="S14" s="108"/>
      <c r="T14" s="108"/>
    </row>
    <row r="15" spans="1:20" ht="45.75" thickBot="1" x14ac:dyDescent="0.3">
      <c r="B15" s="10">
        <v>2</v>
      </c>
      <c r="C15" s="39" t="s">
        <v>23</v>
      </c>
      <c r="D15" s="26" t="s">
        <v>19</v>
      </c>
      <c r="E15" s="27">
        <v>1</v>
      </c>
      <c r="F15" s="9">
        <v>2239695</v>
      </c>
      <c r="G15" s="28">
        <f t="shared" ref="G15:G28" si="0">F15*E15</f>
        <v>2239695</v>
      </c>
      <c r="H15" s="11"/>
      <c r="I15" s="9">
        <v>2155172.41</v>
      </c>
      <c r="J15" s="28">
        <f t="shared" ref="J15:J30" si="1">I15*E15</f>
        <v>2155172.41</v>
      </c>
      <c r="K15" s="29" t="s">
        <v>42</v>
      </c>
      <c r="L15" s="9">
        <v>2161301.4</v>
      </c>
      <c r="M15" s="28">
        <f>L15*E15</f>
        <v>2161301.4</v>
      </c>
      <c r="N15" s="29"/>
      <c r="O15" s="9">
        <v>2001650</v>
      </c>
      <c r="P15" s="28">
        <f>O15*E15</f>
        <v>2001650</v>
      </c>
      <c r="Q15" s="29" t="s">
        <v>55</v>
      </c>
      <c r="R15" s="107"/>
      <c r="S15" s="108"/>
      <c r="T15" s="108"/>
    </row>
    <row r="16" spans="1:20" ht="45.75" thickBot="1" x14ac:dyDescent="0.3">
      <c r="B16" s="35">
        <v>3</v>
      </c>
      <c r="C16" s="40" t="s">
        <v>24</v>
      </c>
      <c r="D16" s="26" t="s">
        <v>19</v>
      </c>
      <c r="E16" s="27">
        <v>1</v>
      </c>
      <c r="F16" s="36">
        <v>2679875</v>
      </c>
      <c r="G16" s="28">
        <f t="shared" si="0"/>
        <v>2679875</v>
      </c>
      <c r="H16" s="37"/>
      <c r="I16" s="36">
        <v>1723706.9</v>
      </c>
      <c r="J16" s="28">
        <f t="shared" si="1"/>
        <v>1723706.9</v>
      </c>
      <c r="K16" s="29" t="s">
        <v>40</v>
      </c>
      <c r="L16" s="36">
        <v>1799109.18</v>
      </c>
      <c r="M16" s="28">
        <f>L16*E16</f>
        <v>1799109.18</v>
      </c>
      <c r="N16" s="29" t="s">
        <v>47</v>
      </c>
      <c r="O16" s="36">
        <v>1720100</v>
      </c>
      <c r="P16" s="28">
        <f>O16*E16</f>
        <v>1720100</v>
      </c>
      <c r="Q16" s="29" t="s">
        <v>42</v>
      </c>
      <c r="R16" s="107"/>
      <c r="S16" s="108"/>
      <c r="T16" s="108"/>
    </row>
    <row r="17" spans="2:20" ht="45.75" thickBot="1" x14ac:dyDescent="0.3">
      <c r="B17" s="10">
        <v>4</v>
      </c>
      <c r="C17" s="40" t="s">
        <v>43</v>
      </c>
      <c r="D17" s="26" t="s">
        <v>19</v>
      </c>
      <c r="E17" s="27">
        <v>1</v>
      </c>
      <c r="F17" s="36"/>
      <c r="G17" s="28"/>
      <c r="H17" s="37"/>
      <c r="I17" s="36">
        <v>2556034.48</v>
      </c>
      <c r="J17" s="28">
        <f t="shared" si="1"/>
        <v>2556034.48</v>
      </c>
      <c r="K17" s="29"/>
      <c r="L17" s="36">
        <v>1740569.4</v>
      </c>
      <c r="M17" s="28">
        <f t="shared" ref="M17:M30" si="2">L17*E17</f>
        <v>1740569.4</v>
      </c>
      <c r="N17" s="29" t="s">
        <v>48</v>
      </c>
      <c r="O17" s="36">
        <v>1806400</v>
      </c>
      <c r="P17" s="28">
        <f t="shared" ref="P17:P30" si="3">O17*E17</f>
        <v>1806400</v>
      </c>
      <c r="Q17" s="29" t="s">
        <v>42</v>
      </c>
      <c r="R17" s="107"/>
      <c r="S17" s="108"/>
      <c r="T17" s="108"/>
    </row>
    <row r="18" spans="2:20" ht="17.25" thickBot="1" x14ac:dyDescent="0.3">
      <c r="B18" s="35">
        <v>5</v>
      </c>
      <c r="C18" t="s">
        <v>27</v>
      </c>
      <c r="D18" s="26" t="s">
        <v>19</v>
      </c>
      <c r="E18" s="27">
        <v>1</v>
      </c>
      <c r="F18" s="36">
        <v>5341238.71</v>
      </c>
      <c r="G18" s="28">
        <f t="shared" si="0"/>
        <v>5341238.71</v>
      </c>
      <c r="H18" s="37"/>
      <c r="I18" s="36"/>
      <c r="J18" s="28">
        <f t="shared" si="1"/>
        <v>0</v>
      </c>
      <c r="K18" s="29"/>
      <c r="L18" s="36"/>
      <c r="M18" s="28">
        <f t="shared" si="2"/>
        <v>0</v>
      </c>
      <c r="N18" s="29"/>
      <c r="O18" s="36"/>
      <c r="P18" s="28">
        <f t="shared" si="3"/>
        <v>0</v>
      </c>
      <c r="Q18" s="29"/>
      <c r="R18" s="107"/>
      <c r="S18" s="108"/>
      <c r="T18" s="108"/>
    </row>
    <row r="19" spans="2:20" ht="17.25" thickBot="1" x14ac:dyDescent="0.3">
      <c r="B19" s="10">
        <v>6</v>
      </c>
      <c r="C19" t="s">
        <v>28</v>
      </c>
      <c r="D19" s="26" t="s">
        <v>19</v>
      </c>
      <c r="E19" s="27">
        <v>1</v>
      </c>
      <c r="F19" s="36">
        <v>3045568.63</v>
      </c>
      <c r="G19" s="28">
        <f t="shared" si="0"/>
        <v>3045568.63</v>
      </c>
      <c r="H19" s="37"/>
      <c r="I19" s="36"/>
      <c r="J19" s="28">
        <f t="shared" si="1"/>
        <v>0</v>
      </c>
      <c r="K19" s="29"/>
      <c r="L19" s="36"/>
      <c r="M19" s="28">
        <f t="shared" si="2"/>
        <v>0</v>
      </c>
      <c r="N19" s="29"/>
      <c r="O19" s="36"/>
      <c r="P19" s="28">
        <f t="shared" si="3"/>
        <v>0</v>
      </c>
      <c r="Q19" s="29"/>
      <c r="R19" s="107"/>
      <c r="S19" s="108"/>
      <c r="T19" s="108"/>
    </row>
    <row r="20" spans="2:20" ht="17.25" thickBot="1" x14ac:dyDescent="0.3">
      <c r="B20" s="35">
        <v>7</v>
      </c>
      <c r="C20" t="s">
        <v>29</v>
      </c>
      <c r="D20" s="26" t="s">
        <v>19</v>
      </c>
      <c r="E20" s="27">
        <v>1</v>
      </c>
      <c r="F20" s="36">
        <v>3363623.38</v>
      </c>
      <c r="G20" s="28">
        <f t="shared" si="0"/>
        <v>3363623.38</v>
      </c>
      <c r="H20" s="37"/>
      <c r="I20" s="28">
        <v>1210948.28</v>
      </c>
      <c r="J20" s="28">
        <f t="shared" si="1"/>
        <v>1210948.28</v>
      </c>
      <c r="K20" s="29" t="s">
        <v>39</v>
      </c>
      <c r="L20" s="36">
        <v>2221717.1800000002</v>
      </c>
      <c r="M20" s="28">
        <f t="shared" si="2"/>
        <v>2221717.1800000002</v>
      </c>
      <c r="N20" s="29" t="s">
        <v>46</v>
      </c>
      <c r="O20" s="36"/>
      <c r="P20" s="28">
        <f t="shared" si="3"/>
        <v>0</v>
      </c>
      <c r="Q20" s="29"/>
      <c r="R20" s="107"/>
      <c r="S20" s="108"/>
      <c r="T20" s="108"/>
    </row>
    <row r="21" spans="2:20" ht="17.25" thickBot="1" x14ac:dyDescent="0.3">
      <c r="B21" s="10">
        <v>8</v>
      </c>
      <c r="C21" t="s">
        <v>30</v>
      </c>
      <c r="D21" s="26" t="s">
        <v>19</v>
      </c>
      <c r="E21" s="27">
        <v>1</v>
      </c>
      <c r="F21" s="36">
        <v>6231445.1600000001</v>
      </c>
      <c r="G21" s="28">
        <f t="shared" si="0"/>
        <v>6231445.1600000001</v>
      </c>
      <c r="H21" s="37"/>
      <c r="I21" s="36"/>
      <c r="J21" s="28">
        <f t="shared" si="1"/>
        <v>0</v>
      </c>
      <c r="K21" s="29"/>
      <c r="L21" s="36">
        <v>3398666.4</v>
      </c>
      <c r="M21" s="28">
        <f t="shared" si="2"/>
        <v>3398666.4</v>
      </c>
      <c r="N21" s="29" t="s">
        <v>46</v>
      </c>
      <c r="O21" s="36"/>
      <c r="P21" s="28">
        <f t="shared" si="3"/>
        <v>0</v>
      </c>
      <c r="Q21" s="29"/>
      <c r="R21" s="107"/>
      <c r="S21" s="108"/>
      <c r="T21" s="108"/>
    </row>
    <row r="22" spans="2:20" ht="17.25" thickBot="1" x14ac:dyDescent="0.3">
      <c r="B22" s="35">
        <v>9</v>
      </c>
      <c r="C22" t="s">
        <v>31</v>
      </c>
      <c r="D22" s="26" t="s">
        <v>19</v>
      </c>
      <c r="E22" s="27">
        <v>1</v>
      </c>
      <c r="F22" s="36">
        <v>4613289.47</v>
      </c>
      <c r="G22" s="28">
        <f t="shared" si="0"/>
        <v>4613289.47</v>
      </c>
      <c r="H22" s="37"/>
      <c r="I22" s="36"/>
      <c r="J22" s="28">
        <f t="shared" si="1"/>
        <v>0</v>
      </c>
      <c r="K22" s="29"/>
      <c r="L22" s="36"/>
      <c r="M22" s="28">
        <f t="shared" si="2"/>
        <v>0</v>
      </c>
      <c r="N22" s="29"/>
      <c r="O22" s="36"/>
      <c r="P22" s="28">
        <f t="shared" si="3"/>
        <v>0</v>
      </c>
      <c r="Q22" s="29"/>
      <c r="R22" s="107"/>
      <c r="S22" s="108"/>
      <c r="T22" s="108"/>
    </row>
    <row r="23" spans="2:20" ht="17.25" thickBot="1" x14ac:dyDescent="0.3">
      <c r="B23" s="10">
        <v>10</v>
      </c>
      <c r="C23" t="s">
        <v>32</v>
      </c>
      <c r="D23" s="26" t="s">
        <v>19</v>
      </c>
      <c r="E23" s="27">
        <v>1</v>
      </c>
      <c r="F23" s="36">
        <v>2955680</v>
      </c>
      <c r="G23" s="28">
        <f t="shared" si="0"/>
        <v>2955680</v>
      </c>
      <c r="H23" s="37"/>
      <c r="I23" s="36">
        <v>2441379.31</v>
      </c>
      <c r="J23" s="28">
        <f t="shared" si="1"/>
        <v>2441379.31</v>
      </c>
      <c r="K23" s="29"/>
      <c r="L23" s="36">
        <v>2045851.2</v>
      </c>
      <c r="M23" s="28">
        <f t="shared" si="2"/>
        <v>2045851.2</v>
      </c>
      <c r="N23" s="29" t="s">
        <v>45</v>
      </c>
      <c r="O23" s="36"/>
      <c r="P23" s="28">
        <f t="shared" si="3"/>
        <v>0</v>
      </c>
      <c r="Q23" s="29"/>
      <c r="R23" s="107"/>
      <c r="S23" s="108"/>
      <c r="T23" s="108"/>
    </row>
    <row r="24" spans="2:20" ht="17.25" thickBot="1" x14ac:dyDescent="0.3">
      <c r="B24" s="35">
        <v>11</v>
      </c>
      <c r="C24" t="s">
        <v>33</v>
      </c>
      <c r="D24" s="26" t="s">
        <v>19</v>
      </c>
      <c r="E24" s="27">
        <v>1</v>
      </c>
      <c r="F24" s="36">
        <v>2049133.89</v>
      </c>
      <c r="G24" s="28">
        <f t="shared" si="0"/>
        <v>2049133.89</v>
      </c>
      <c r="H24" s="37"/>
      <c r="I24" s="36"/>
      <c r="J24" s="28">
        <f t="shared" si="1"/>
        <v>0</v>
      </c>
      <c r="K24" s="29"/>
      <c r="L24" s="36"/>
      <c r="M24" s="28">
        <f t="shared" si="2"/>
        <v>0</v>
      </c>
      <c r="N24" s="29"/>
      <c r="O24" s="36"/>
      <c r="P24" s="28">
        <f t="shared" si="3"/>
        <v>0</v>
      </c>
      <c r="Q24" s="29"/>
      <c r="R24" s="107"/>
      <c r="S24" s="108"/>
      <c r="T24" s="108"/>
    </row>
    <row r="25" spans="2:20" ht="17.25" thickBot="1" x14ac:dyDescent="0.3">
      <c r="B25" s="10">
        <v>12</v>
      </c>
      <c r="C25" t="s">
        <v>34</v>
      </c>
      <c r="D25" s="26" t="s">
        <v>19</v>
      </c>
      <c r="E25" s="27">
        <v>1</v>
      </c>
      <c r="F25" s="36">
        <v>6968033</v>
      </c>
      <c r="G25" s="28">
        <f t="shared" si="0"/>
        <v>6968033</v>
      </c>
      <c r="H25" s="37"/>
      <c r="I25" s="36"/>
      <c r="J25" s="28">
        <f t="shared" si="1"/>
        <v>0</v>
      </c>
      <c r="K25" s="29"/>
      <c r="L25" s="36"/>
      <c r="M25" s="28">
        <f t="shared" si="2"/>
        <v>0</v>
      </c>
      <c r="N25" s="29"/>
      <c r="O25" s="36"/>
      <c r="P25" s="28">
        <f t="shared" si="3"/>
        <v>0</v>
      </c>
      <c r="Q25" s="29"/>
      <c r="R25" s="107"/>
      <c r="S25" s="108"/>
      <c r="T25" s="108"/>
    </row>
    <row r="26" spans="2:20" ht="17.25" thickBot="1" x14ac:dyDescent="0.3">
      <c r="B26" s="35">
        <v>13</v>
      </c>
      <c r="C26" t="s">
        <v>35</v>
      </c>
      <c r="D26" s="26" t="s">
        <v>19</v>
      </c>
      <c r="E26" s="27">
        <v>1</v>
      </c>
      <c r="F26" s="36">
        <v>2732617.45</v>
      </c>
      <c r="G26" s="28">
        <f t="shared" si="0"/>
        <v>2732617.45</v>
      </c>
      <c r="H26" s="37"/>
      <c r="I26" s="36"/>
      <c r="J26" s="28">
        <f t="shared" si="1"/>
        <v>0</v>
      </c>
      <c r="K26" s="29"/>
      <c r="L26" s="36"/>
      <c r="M26" s="28">
        <f t="shared" si="2"/>
        <v>0</v>
      </c>
      <c r="N26" s="29"/>
      <c r="O26" s="36"/>
      <c r="P26" s="28">
        <f t="shared" si="3"/>
        <v>0</v>
      </c>
      <c r="Q26" s="29"/>
      <c r="R26" s="107"/>
      <c r="S26" s="108"/>
      <c r="T26" s="108"/>
    </row>
    <row r="27" spans="2:20" ht="17.25" thickBot="1" x14ac:dyDescent="0.3">
      <c r="B27" s="10">
        <v>14</v>
      </c>
      <c r="C27" t="s">
        <v>36</v>
      </c>
      <c r="D27" s="26" t="s">
        <v>19</v>
      </c>
      <c r="E27" s="27">
        <v>1</v>
      </c>
      <c r="F27" s="36">
        <v>2641530.2000000002</v>
      </c>
      <c r="G27" s="28">
        <f t="shared" si="0"/>
        <v>2641530.2000000002</v>
      </c>
      <c r="H27" s="37"/>
      <c r="I27" s="36"/>
      <c r="J27" s="28">
        <f t="shared" si="1"/>
        <v>0</v>
      </c>
      <c r="K27" s="29"/>
      <c r="L27" s="36"/>
      <c r="M27" s="28">
        <f t="shared" si="2"/>
        <v>0</v>
      </c>
      <c r="N27" s="29"/>
      <c r="O27" s="36"/>
      <c r="P27" s="28">
        <f t="shared" si="3"/>
        <v>0</v>
      </c>
      <c r="Q27" s="29"/>
      <c r="R27" s="107"/>
      <c r="S27" s="108"/>
      <c r="T27" s="108"/>
    </row>
    <row r="28" spans="2:20" ht="17.25" thickBot="1" x14ac:dyDescent="0.3">
      <c r="B28" s="35">
        <v>15</v>
      </c>
      <c r="C28" t="s">
        <v>37</v>
      </c>
      <c r="D28" s="26" t="s">
        <v>19</v>
      </c>
      <c r="E28" s="27">
        <v>1</v>
      </c>
      <c r="F28" s="36">
        <v>4825600</v>
      </c>
      <c r="G28" s="28">
        <f t="shared" si="0"/>
        <v>4825600</v>
      </c>
      <c r="H28" s="37"/>
      <c r="I28" s="36"/>
      <c r="J28" s="28">
        <f t="shared" si="1"/>
        <v>0</v>
      </c>
      <c r="K28" s="29"/>
      <c r="L28" s="36"/>
      <c r="M28" s="28">
        <f t="shared" si="2"/>
        <v>0</v>
      </c>
      <c r="N28" s="29"/>
      <c r="O28" s="36"/>
      <c r="P28" s="28">
        <f t="shared" si="3"/>
        <v>0</v>
      </c>
      <c r="Q28" s="29"/>
      <c r="R28" s="107"/>
      <c r="S28" s="108"/>
      <c r="T28" s="108"/>
    </row>
    <row r="29" spans="2:20" ht="17.25" thickBot="1" x14ac:dyDescent="0.3">
      <c r="B29" s="41">
        <v>16</v>
      </c>
      <c r="C29" t="s">
        <v>49</v>
      </c>
      <c r="D29" s="26" t="s">
        <v>19</v>
      </c>
      <c r="E29" s="42">
        <v>1</v>
      </c>
      <c r="F29" s="43"/>
      <c r="G29" s="44"/>
      <c r="H29" s="45"/>
      <c r="I29" s="43"/>
      <c r="J29" s="44">
        <f t="shared" si="1"/>
        <v>0</v>
      </c>
      <c r="L29" s="43">
        <v>1256900.58</v>
      </c>
      <c r="M29" s="28">
        <f t="shared" si="2"/>
        <v>1256900.58</v>
      </c>
      <c r="N29" t="s">
        <v>51</v>
      </c>
      <c r="O29" s="44">
        <v>1006700</v>
      </c>
      <c r="P29" s="28">
        <f t="shared" si="3"/>
        <v>1006700</v>
      </c>
      <c r="R29" s="38"/>
      <c r="S29" s="38"/>
      <c r="T29" s="38"/>
    </row>
    <row r="30" spans="2:20" ht="17.25" thickBot="1" x14ac:dyDescent="0.3">
      <c r="B30" s="41">
        <v>17</v>
      </c>
      <c r="C30" t="s">
        <v>50</v>
      </c>
      <c r="D30" s="26" t="s">
        <v>19</v>
      </c>
      <c r="E30" s="42">
        <v>1</v>
      </c>
      <c r="F30" s="43"/>
      <c r="G30" s="44"/>
      <c r="H30" s="45"/>
      <c r="I30" s="43"/>
      <c r="J30" s="44">
        <f t="shared" si="1"/>
        <v>0</v>
      </c>
      <c r="L30" s="43">
        <v>366098.22</v>
      </c>
      <c r="M30" s="28">
        <f t="shared" si="2"/>
        <v>366098.22</v>
      </c>
      <c r="N30" t="s">
        <v>52</v>
      </c>
      <c r="O30" s="43">
        <v>362900</v>
      </c>
      <c r="P30" s="28">
        <f t="shared" si="3"/>
        <v>362900</v>
      </c>
      <c r="R30" s="38"/>
      <c r="S30" s="38"/>
      <c r="T30" s="38"/>
    </row>
    <row r="31" spans="2:20" ht="16.5" x14ac:dyDescent="0.25">
      <c r="B31" s="12"/>
      <c r="C31" s="13"/>
      <c r="D31" s="26"/>
      <c r="E31" s="12"/>
      <c r="F31" s="14" t="s">
        <v>12</v>
      </c>
      <c r="G31" s="15">
        <f>SUM(G14:G30)</f>
        <v>51956104.890000001</v>
      </c>
      <c r="H31" s="16" t="s">
        <v>20</v>
      </c>
      <c r="I31" s="14" t="s">
        <v>12</v>
      </c>
      <c r="J31" s="15">
        <f>SUM(J14:J30)</f>
        <v>12258275.860000001</v>
      </c>
      <c r="K31" s="16"/>
      <c r="L31" s="14" t="s">
        <v>12</v>
      </c>
      <c r="M31" s="15">
        <f>SUM(M14:M30)</f>
        <v>17211778.959999997</v>
      </c>
      <c r="N31" s="16"/>
      <c r="O31" s="14" t="s">
        <v>12</v>
      </c>
      <c r="P31" s="15">
        <f>SUM(P14:P30)</f>
        <v>9315030</v>
      </c>
      <c r="Q31" s="16"/>
      <c r="R31" s="21"/>
    </row>
    <row r="32" spans="2:20" ht="16.5" x14ac:dyDescent="0.25">
      <c r="B32" s="12"/>
      <c r="C32" s="13"/>
      <c r="D32" s="12"/>
      <c r="E32" s="12"/>
      <c r="F32" s="17" t="s">
        <v>13</v>
      </c>
      <c r="G32" s="15">
        <f>G31*0.16</f>
        <v>8312976.7823999999</v>
      </c>
      <c r="H32" s="19"/>
      <c r="I32" s="17" t="s">
        <v>13</v>
      </c>
      <c r="J32" s="15">
        <f>J31*16%</f>
        <v>1961324.1376000002</v>
      </c>
      <c r="K32" s="16"/>
      <c r="L32" s="17" t="s">
        <v>13</v>
      </c>
      <c r="M32" s="15">
        <f>M31*16%</f>
        <v>2753884.6335999998</v>
      </c>
      <c r="N32" s="16"/>
      <c r="O32" s="17" t="s">
        <v>13</v>
      </c>
      <c r="P32" s="15">
        <f>P31*16%</f>
        <v>1490404.8</v>
      </c>
      <c r="Q32" s="16"/>
      <c r="R32" s="21"/>
    </row>
    <row r="33" spans="2:17" ht="16.5" x14ac:dyDescent="0.25">
      <c r="B33" s="12"/>
      <c r="C33" s="12"/>
      <c r="D33" s="12"/>
      <c r="E33" s="12"/>
      <c r="F33" s="18" t="s">
        <v>11</v>
      </c>
      <c r="G33" s="18">
        <f>SUM(G31:G32)</f>
        <v>60269081.672399998</v>
      </c>
      <c r="H33" s="19"/>
      <c r="I33" s="18" t="s">
        <v>11</v>
      </c>
      <c r="J33" s="18">
        <f>SUM(J31:J32)</f>
        <v>14219599.997600002</v>
      </c>
      <c r="K33" s="16"/>
      <c r="L33" s="18" t="s">
        <v>11</v>
      </c>
      <c r="M33" s="18">
        <f>SUM(M31:M32)</f>
        <v>19965663.593599997</v>
      </c>
      <c r="N33" s="16"/>
      <c r="O33" s="18" t="s">
        <v>11</v>
      </c>
      <c r="P33" s="18">
        <f>SUM(P31:P32)</f>
        <v>10805434.800000001</v>
      </c>
      <c r="Q33" s="16"/>
    </row>
    <row r="36" spans="2:17" x14ac:dyDescent="0.25">
      <c r="C36" s="33" t="s">
        <v>15</v>
      </c>
      <c r="D36" t="s">
        <v>21</v>
      </c>
      <c r="G36" s="88" t="s">
        <v>16</v>
      </c>
      <c r="H36" s="88"/>
      <c r="I36" s="88"/>
      <c r="J36" s="88"/>
    </row>
    <row r="39" spans="2:17" x14ac:dyDescent="0.25">
      <c r="C39" s="34" t="s">
        <v>17</v>
      </c>
      <c r="G39" s="89" t="s">
        <v>18</v>
      </c>
      <c r="H39" s="89"/>
      <c r="I39" s="89"/>
      <c r="J39" s="89"/>
    </row>
  </sheetData>
  <mergeCells count="26">
    <mergeCell ref="R14:T28"/>
    <mergeCell ref="L6:N6"/>
    <mergeCell ref="L11:N11"/>
    <mergeCell ref="L12:M12"/>
    <mergeCell ref="N12:N13"/>
    <mergeCell ref="O6:Q6"/>
    <mergeCell ref="O12:P12"/>
    <mergeCell ref="Q12:Q13"/>
    <mergeCell ref="O11:Q11"/>
    <mergeCell ref="O10:R10"/>
    <mergeCell ref="R11:T13"/>
    <mergeCell ref="A1:K4"/>
    <mergeCell ref="I6:K6"/>
    <mergeCell ref="G36:J36"/>
    <mergeCell ref="G39:J39"/>
    <mergeCell ref="K12:K13"/>
    <mergeCell ref="I12:J12"/>
    <mergeCell ref="H12:H13"/>
    <mergeCell ref="F12:G12"/>
    <mergeCell ref="B12:B13"/>
    <mergeCell ref="C12:C13"/>
    <mergeCell ref="B11:C11"/>
    <mergeCell ref="D11:D13"/>
    <mergeCell ref="E11:E13"/>
    <mergeCell ref="F11:H11"/>
    <mergeCell ref="I11:K11"/>
  </mergeCells>
  <pageMargins left="0.70866141732283472" right="0.70866141732283472" top="1.3385826771653544" bottom="0.74803149606299213" header="0.31496062992125984" footer="0.31496062992125984"/>
  <pageSetup scale="27" orientation="landscape" r:id="rId1"/>
  <headerFooter>
    <oddHeader>&amp;L&amp;G&amp;R&amp;G</oddHead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14AA-1C35-4E88-AF2E-34D9B2E4970D}">
  <sheetPr>
    <pageSetUpPr fitToPage="1"/>
  </sheetPr>
  <dimension ref="A1:U31"/>
  <sheetViews>
    <sheetView view="pageBreakPreview" topLeftCell="A3" zoomScale="55" zoomScaleNormal="80" zoomScaleSheetLayoutView="55" workbookViewId="0">
      <selection activeCell="B15" sqref="B15:P15"/>
    </sheetView>
  </sheetViews>
  <sheetFormatPr baseColWidth="10" defaultColWidth="11.5703125" defaultRowHeight="15" x14ac:dyDescent="0.25"/>
  <cols>
    <col min="1" max="1" width="13.140625" customWidth="1"/>
    <col min="2" max="2" width="27.28515625" customWidth="1"/>
    <col min="3" max="4" width="12.7109375" customWidth="1"/>
    <col min="5" max="5" width="19.7109375" customWidth="1"/>
    <col min="6" max="6" width="23.42578125" customWidth="1"/>
    <col min="7" max="7" width="12.42578125" customWidth="1"/>
    <col min="8" max="8" width="19" customWidth="1"/>
    <col min="9" max="9" width="21.5703125" customWidth="1"/>
    <col min="10" max="10" width="12.7109375" customWidth="1"/>
    <col min="11" max="11" width="19.85546875" customWidth="1"/>
    <col min="12" max="12" width="22.28515625" customWidth="1"/>
    <col min="13" max="13" width="12" customWidth="1"/>
    <col min="14" max="14" width="22.28515625" customWidth="1"/>
    <col min="15" max="15" width="21.5703125" customWidth="1"/>
    <col min="16" max="16" width="12.28515625" customWidth="1"/>
    <col min="18" max="18" width="7.140625" customWidth="1"/>
    <col min="19" max="19" width="18.5703125" style="33" customWidth="1"/>
    <col min="20" max="20" width="17.140625" customWidth="1"/>
    <col min="21" max="21" width="16.28515625" customWidth="1"/>
  </cols>
  <sheetData>
    <row r="1" spans="1:21" ht="15.75" customHeight="1" x14ac:dyDescent="0.25">
      <c r="A1" s="86"/>
      <c r="B1" s="86"/>
      <c r="C1" s="86"/>
      <c r="D1" s="86"/>
      <c r="E1" s="86"/>
      <c r="F1" s="86"/>
      <c r="G1" s="86"/>
      <c r="H1" s="86"/>
      <c r="I1" s="86"/>
      <c r="J1" s="46"/>
      <c r="K1" s="31"/>
      <c r="L1" s="31"/>
      <c r="M1" s="31"/>
      <c r="N1" s="31"/>
      <c r="O1" s="31"/>
      <c r="P1" s="31"/>
    </row>
    <row r="2" spans="1:21" ht="20.4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46"/>
      <c r="K2" s="3"/>
      <c r="Q2" s="3"/>
    </row>
    <row r="3" spans="1:21" ht="18" x14ac:dyDescent="0.25">
      <c r="A3" s="86"/>
      <c r="B3" s="86"/>
      <c r="C3" s="86"/>
      <c r="D3" s="86"/>
      <c r="E3" s="86"/>
      <c r="F3" s="86"/>
      <c r="G3" s="86"/>
      <c r="H3" s="86"/>
      <c r="I3" s="86"/>
      <c r="J3" s="46"/>
      <c r="K3" s="3"/>
      <c r="L3" s="3"/>
      <c r="M3" s="3"/>
      <c r="N3" s="4"/>
      <c r="O3" s="3" t="s">
        <v>14</v>
      </c>
      <c r="P3" s="3"/>
      <c r="Q3" s="3"/>
    </row>
    <row r="4" spans="1:21" ht="18" x14ac:dyDescent="0.25">
      <c r="A4" s="86"/>
      <c r="B4" s="86"/>
      <c r="C4" s="86"/>
      <c r="D4" s="86"/>
      <c r="E4" s="86"/>
      <c r="F4" s="86"/>
      <c r="G4" s="86"/>
      <c r="H4" s="86"/>
      <c r="I4" s="86"/>
      <c r="J4" s="46"/>
      <c r="K4" s="3"/>
      <c r="L4" s="3"/>
      <c r="M4" s="3"/>
      <c r="N4" s="4"/>
      <c r="O4" s="3"/>
      <c r="P4" s="3"/>
      <c r="Q4" s="3"/>
    </row>
    <row r="5" spans="1:21" ht="18" x14ac:dyDescent="0.25">
      <c r="A5" s="31"/>
      <c r="B5" s="31"/>
      <c r="C5" s="31"/>
      <c r="D5" s="31"/>
      <c r="E5" s="31"/>
      <c r="F5" s="31"/>
      <c r="G5" s="31"/>
      <c r="H5" s="87"/>
      <c r="I5" s="87"/>
      <c r="J5" s="47"/>
      <c r="K5" s="87"/>
      <c r="L5" s="87"/>
      <c r="M5" s="47"/>
      <c r="N5" s="87"/>
      <c r="O5" s="87"/>
      <c r="P5" s="47"/>
      <c r="Q5" s="3"/>
    </row>
    <row r="6" spans="1:21" ht="18" x14ac:dyDescent="0.25">
      <c r="A6" s="1" t="s">
        <v>0</v>
      </c>
      <c r="B6" s="2"/>
      <c r="C6" s="113" t="s">
        <v>73</v>
      </c>
      <c r="D6" s="114"/>
      <c r="E6" s="114"/>
      <c r="F6" s="114"/>
      <c r="G6" s="114"/>
      <c r="H6" s="114"/>
      <c r="I6" s="114"/>
      <c r="J6" s="114"/>
      <c r="K6" s="114"/>
      <c r="L6" s="114"/>
      <c r="M6" s="32"/>
      <c r="N6" s="32"/>
      <c r="O6" s="32"/>
      <c r="P6" s="32"/>
      <c r="Q6" s="3"/>
    </row>
    <row r="7" spans="1:21" ht="18" x14ac:dyDescent="0.25">
      <c r="A7" s="5" t="s">
        <v>1</v>
      </c>
      <c r="B7" s="6">
        <v>45945</v>
      </c>
      <c r="C7" s="32"/>
      <c r="D7" s="32"/>
      <c r="E7" s="32"/>
      <c r="F7" s="32"/>
      <c r="G7" s="32"/>
      <c r="Q7" s="3"/>
    </row>
    <row r="8" spans="1:21" ht="18.75" thickBot="1" x14ac:dyDescent="0.3">
      <c r="A8" s="20"/>
      <c r="B8" s="20"/>
      <c r="C8" s="20"/>
      <c r="D8" s="20"/>
      <c r="E8" s="20"/>
      <c r="H8" s="20"/>
      <c r="K8" s="20"/>
      <c r="N8" s="20"/>
      <c r="Q8" s="7"/>
    </row>
    <row r="9" spans="1:21" ht="37.15" customHeight="1" thickBot="1" x14ac:dyDescent="0.3">
      <c r="A9" s="117" t="s">
        <v>2</v>
      </c>
      <c r="B9" s="115"/>
      <c r="C9" s="115" t="s">
        <v>74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53"/>
    </row>
    <row r="10" spans="1:21" ht="49.9" customHeight="1" x14ac:dyDescent="0.25">
      <c r="A10" s="118" t="s">
        <v>3</v>
      </c>
      <c r="B10" s="119"/>
      <c r="C10" s="112" t="s">
        <v>4</v>
      </c>
      <c r="D10" s="112" t="s">
        <v>5</v>
      </c>
      <c r="E10" s="139" t="s">
        <v>57</v>
      </c>
      <c r="F10" s="140"/>
      <c r="G10" s="141"/>
      <c r="H10" s="112" t="s">
        <v>67</v>
      </c>
      <c r="I10" s="112"/>
      <c r="J10" s="112"/>
      <c r="K10" s="112" t="s">
        <v>58</v>
      </c>
      <c r="L10" s="112"/>
      <c r="M10" s="112"/>
      <c r="N10" s="112" t="s">
        <v>59</v>
      </c>
      <c r="O10" s="112"/>
      <c r="P10" s="121"/>
      <c r="Q10" s="133" t="s">
        <v>11</v>
      </c>
      <c r="R10" s="134"/>
      <c r="S10" s="130" t="s">
        <v>22</v>
      </c>
      <c r="T10" s="131"/>
      <c r="U10" s="132"/>
    </row>
    <row r="11" spans="1:21" ht="31.15" customHeight="1" x14ac:dyDescent="0.25">
      <c r="A11" s="118" t="s">
        <v>6</v>
      </c>
      <c r="B11" s="119" t="s">
        <v>7</v>
      </c>
      <c r="C11" s="112"/>
      <c r="D11" s="112"/>
      <c r="E11" s="119" t="s">
        <v>8</v>
      </c>
      <c r="F11" s="119"/>
      <c r="G11" s="124" t="s">
        <v>60</v>
      </c>
      <c r="H11" s="119" t="s">
        <v>8</v>
      </c>
      <c r="I11" s="119"/>
      <c r="J11" s="112" t="s">
        <v>60</v>
      </c>
      <c r="K11" s="119" t="s">
        <v>8</v>
      </c>
      <c r="L11" s="119"/>
      <c r="M11" s="112" t="s">
        <v>60</v>
      </c>
      <c r="N11" s="119" t="s">
        <v>8</v>
      </c>
      <c r="O11" s="119"/>
      <c r="P11" s="121" t="s">
        <v>60</v>
      </c>
      <c r="Q11" s="135"/>
      <c r="R11" s="136"/>
      <c r="S11" s="142" t="s">
        <v>68</v>
      </c>
      <c r="T11" s="142" t="s">
        <v>69</v>
      </c>
      <c r="U11" s="144" t="s">
        <v>70</v>
      </c>
    </row>
    <row r="12" spans="1:21" ht="51.6" customHeight="1" thickBot="1" x14ac:dyDescent="0.3">
      <c r="A12" s="122"/>
      <c r="B12" s="123"/>
      <c r="C12" s="120"/>
      <c r="D12" s="120"/>
      <c r="E12" s="8" t="s">
        <v>10</v>
      </c>
      <c r="F12" s="8" t="s">
        <v>11</v>
      </c>
      <c r="G12" s="103"/>
      <c r="H12" s="8" t="s">
        <v>10</v>
      </c>
      <c r="I12" s="8" t="s">
        <v>11</v>
      </c>
      <c r="J12" s="120"/>
      <c r="K12" s="8" t="s">
        <v>10</v>
      </c>
      <c r="L12" s="8" t="s">
        <v>11</v>
      </c>
      <c r="M12" s="120"/>
      <c r="N12" s="8" t="s">
        <v>10</v>
      </c>
      <c r="O12" s="8" t="s">
        <v>11</v>
      </c>
      <c r="P12" s="127"/>
      <c r="Q12" s="137"/>
      <c r="R12" s="138"/>
      <c r="S12" s="143"/>
      <c r="T12" s="143"/>
      <c r="U12" s="145"/>
    </row>
    <row r="13" spans="1:21" ht="82.5" x14ac:dyDescent="0.25">
      <c r="A13" s="59">
        <v>1</v>
      </c>
      <c r="B13" s="25" t="s">
        <v>61</v>
      </c>
      <c r="C13" s="26" t="s">
        <v>19</v>
      </c>
      <c r="D13" s="27">
        <v>2</v>
      </c>
      <c r="E13" s="60">
        <v>2268775</v>
      </c>
      <c r="F13" s="60">
        <f>E13*D13</f>
        <v>4537550</v>
      </c>
      <c r="G13" s="26"/>
      <c r="H13" s="60">
        <v>2094827.59</v>
      </c>
      <c r="I13" s="60">
        <f t="shared" ref="I13:I18" si="0">H13*D13</f>
        <v>4189655.18</v>
      </c>
      <c r="J13" s="28"/>
      <c r="K13" s="60">
        <f>Hoja1!L14*1.1</f>
        <v>2443721.94</v>
      </c>
      <c r="L13" s="60">
        <f>K13*D13</f>
        <v>4887443.88</v>
      </c>
      <c r="M13" s="28"/>
      <c r="N13" s="60"/>
      <c r="O13" s="60">
        <f>+N13*D13</f>
        <v>0</v>
      </c>
      <c r="P13" s="61"/>
      <c r="Q13" s="128">
        <f>((F13+I13+L13)/3)*1.16</f>
        <v>5264330.9698666651</v>
      </c>
      <c r="R13" s="129"/>
      <c r="S13" s="71">
        <f>+Q13+Q14</f>
        <v>7771875.9529330656</v>
      </c>
      <c r="T13" s="72">
        <f>+Q15+Q16+Q17</f>
        <v>12527543.625066666</v>
      </c>
      <c r="U13" s="72">
        <f>+Q18</f>
        <v>2054583.6132000003</v>
      </c>
    </row>
    <row r="14" spans="1:21" ht="115.5" x14ac:dyDescent="0.25">
      <c r="A14" s="62">
        <v>2</v>
      </c>
      <c r="B14" s="54" t="s">
        <v>62</v>
      </c>
      <c r="C14" s="11" t="s">
        <v>19</v>
      </c>
      <c r="D14" s="49">
        <v>1</v>
      </c>
      <c r="E14" s="56">
        <v>2234482.75862</v>
      </c>
      <c r="F14" s="56">
        <f>D14*E14</f>
        <v>2234482.75862</v>
      </c>
      <c r="G14" s="9"/>
      <c r="H14" s="56">
        <v>2092593.97</v>
      </c>
      <c r="I14" s="56">
        <f t="shared" si="0"/>
        <v>2092593.97</v>
      </c>
      <c r="J14" s="9"/>
      <c r="K14" s="56">
        <v>2157953.4</v>
      </c>
      <c r="L14" s="56">
        <f>K14*D14</f>
        <v>2157953.4</v>
      </c>
      <c r="M14" s="9"/>
      <c r="N14" s="56"/>
      <c r="O14" s="56">
        <f>+N14*D14</f>
        <v>0</v>
      </c>
      <c r="P14" s="63"/>
      <c r="Q14" s="125">
        <f>((F14+I14+L14)/3)*1.16</f>
        <v>2507544.9830664</v>
      </c>
      <c r="R14" s="126"/>
    </row>
    <row r="15" spans="1:21" ht="33" x14ac:dyDescent="0.25">
      <c r="A15" s="62">
        <v>3</v>
      </c>
      <c r="B15" s="54" t="s">
        <v>63</v>
      </c>
      <c r="C15" s="11" t="s">
        <v>19</v>
      </c>
      <c r="D15" s="49">
        <v>1</v>
      </c>
      <c r="E15" s="56">
        <v>4341238.71</v>
      </c>
      <c r="F15" s="56">
        <f t="shared" ref="F15:F18" si="1">E15*D15</f>
        <v>4341238.71</v>
      </c>
      <c r="G15" s="9"/>
      <c r="H15" s="56">
        <v>3536210</v>
      </c>
      <c r="I15" s="56">
        <f t="shared" si="0"/>
        <v>3536210</v>
      </c>
      <c r="J15" s="9"/>
      <c r="K15" s="56">
        <f>Hoja1!L18*1.1</f>
        <v>0</v>
      </c>
      <c r="L15" s="56">
        <f>K15*D15</f>
        <v>0</v>
      </c>
      <c r="M15" s="9"/>
      <c r="N15" s="56">
        <v>3264000</v>
      </c>
      <c r="O15" s="56">
        <f>N15*D15</f>
        <v>3264000</v>
      </c>
      <c r="P15" s="63"/>
      <c r="Q15" s="125">
        <f>((F15+I15+O15)/3)*1.16</f>
        <v>4308026.8345333328</v>
      </c>
      <c r="R15" s="126"/>
      <c r="S15" s="48"/>
    </row>
    <row r="16" spans="1:21" ht="33" x14ac:dyDescent="0.25">
      <c r="A16" s="62">
        <v>4</v>
      </c>
      <c r="B16" s="54" t="s">
        <v>64</v>
      </c>
      <c r="C16" s="11" t="s">
        <v>19</v>
      </c>
      <c r="D16" s="49">
        <v>1</v>
      </c>
      <c r="E16" s="56">
        <v>2945568.63</v>
      </c>
      <c r="F16" s="56">
        <f t="shared" si="1"/>
        <v>2945568.63</v>
      </c>
      <c r="G16" s="11"/>
      <c r="H16" s="56">
        <v>2487427</v>
      </c>
      <c r="I16" s="56">
        <f t="shared" si="0"/>
        <v>2487427</v>
      </c>
      <c r="J16" s="9"/>
      <c r="K16" s="56">
        <f>Hoja1!L19*1.1</f>
        <v>0</v>
      </c>
      <c r="L16" s="56">
        <f>K16*D16</f>
        <v>0</v>
      </c>
      <c r="M16" s="9"/>
      <c r="N16" s="56">
        <v>2102400</v>
      </c>
      <c r="O16" s="56">
        <f>N16*D16</f>
        <v>2102400</v>
      </c>
      <c r="P16" s="63"/>
      <c r="Q16" s="125">
        <f>((F16+I16+O16)/3)*1.16</f>
        <v>2913686.3102666666</v>
      </c>
      <c r="R16" s="126"/>
    </row>
    <row r="17" spans="1:18" ht="16.5" x14ac:dyDescent="0.25">
      <c r="A17" s="62">
        <v>5</v>
      </c>
      <c r="B17" s="54" t="s">
        <v>65</v>
      </c>
      <c r="C17" s="11" t="s">
        <v>19</v>
      </c>
      <c r="D17" s="49">
        <v>1</v>
      </c>
      <c r="E17" s="56">
        <v>5363623.38</v>
      </c>
      <c r="F17" s="56">
        <f t="shared" si="1"/>
        <v>5363623.38</v>
      </c>
      <c r="G17" s="9"/>
      <c r="H17" s="56">
        <v>4326352</v>
      </c>
      <c r="I17" s="56">
        <f t="shared" si="0"/>
        <v>4326352</v>
      </c>
      <c r="J17" s="9"/>
      <c r="K17" s="56"/>
      <c r="L17" s="56"/>
      <c r="M17" s="9"/>
      <c r="N17" s="56">
        <v>4032000</v>
      </c>
      <c r="O17" s="56">
        <f>N17*D17</f>
        <v>4032000</v>
      </c>
      <c r="P17" s="63"/>
      <c r="Q17" s="125">
        <f>((F17+I17+O17)/3)*1.16</f>
        <v>5305830.480266666</v>
      </c>
      <c r="R17" s="126"/>
    </row>
    <row r="18" spans="1:18" ht="45" customHeight="1" thickBot="1" x14ac:dyDescent="0.3">
      <c r="A18" s="64">
        <v>6</v>
      </c>
      <c r="B18" s="65" t="s">
        <v>66</v>
      </c>
      <c r="C18" s="66" t="s">
        <v>19</v>
      </c>
      <c r="D18" s="67">
        <v>3</v>
      </c>
      <c r="E18" s="68">
        <v>590000</v>
      </c>
      <c r="F18" s="68">
        <f t="shared" si="1"/>
        <v>1770000</v>
      </c>
      <c r="G18" s="69"/>
      <c r="H18" s="68">
        <v>589568.97</v>
      </c>
      <c r="I18" s="68">
        <f t="shared" si="0"/>
        <v>1768706.91</v>
      </c>
      <c r="J18" s="69"/>
      <c r="K18" s="68">
        <v>591623.80000000005</v>
      </c>
      <c r="L18" s="68">
        <f>K18*D18</f>
        <v>1774871.4000000001</v>
      </c>
      <c r="M18" s="69"/>
      <c r="N18" s="68"/>
      <c r="O18" s="68">
        <f>N18*D18</f>
        <v>0</v>
      </c>
      <c r="P18" s="70"/>
      <c r="Q18" s="125">
        <f>(F18+L18+I18)/3*1.16</f>
        <v>2054583.6132000003</v>
      </c>
      <c r="R18" s="126"/>
    </row>
    <row r="19" spans="1:18" ht="16.5" x14ac:dyDescent="0.25">
      <c r="A19" s="12"/>
      <c r="B19" s="13"/>
      <c r="C19" s="45"/>
      <c r="D19" s="12"/>
      <c r="E19" s="14" t="s">
        <v>12</v>
      </c>
      <c r="F19" s="15">
        <f>SUM(F13:F18)</f>
        <v>21192463.478619996</v>
      </c>
      <c r="G19" s="16"/>
      <c r="H19" s="50" t="s">
        <v>12</v>
      </c>
      <c r="I19" s="57">
        <f>SUM(I13:I18)</f>
        <v>18400945.059999999</v>
      </c>
      <c r="J19" s="52"/>
      <c r="K19" s="14" t="s">
        <v>12</v>
      </c>
      <c r="L19" s="15">
        <f>SUM(L13:L18)</f>
        <v>8820268.6799999997</v>
      </c>
      <c r="M19" s="16"/>
      <c r="N19" s="14" t="s">
        <v>12</v>
      </c>
      <c r="O19" s="15">
        <f>SUM(O13:O18)</f>
        <v>9398400</v>
      </c>
      <c r="P19" s="16"/>
      <c r="Q19" s="21"/>
    </row>
    <row r="20" spans="1:18" ht="16.5" x14ac:dyDescent="0.25">
      <c r="A20" s="12"/>
      <c r="B20" s="13"/>
      <c r="C20" s="12"/>
      <c r="D20" s="12"/>
      <c r="E20" s="17" t="s">
        <v>13</v>
      </c>
      <c r="F20" s="18">
        <f>F19*0.16</f>
        <v>3390794.1565791997</v>
      </c>
      <c r="G20" s="16"/>
      <c r="H20" s="51" t="s">
        <v>13</v>
      </c>
      <c r="I20" s="58">
        <f>I19*16%</f>
        <v>2944151.2095999997</v>
      </c>
      <c r="J20" s="52"/>
      <c r="K20" s="17" t="s">
        <v>13</v>
      </c>
      <c r="L20" s="18">
        <f>L19*16%</f>
        <v>1411242.9887999999</v>
      </c>
      <c r="M20" s="16"/>
      <c r="N20" s="17" t="s">
        <v>13</v>
      </c>
      <c r="O20" s="18">
        <f>O19*16%</f>
        <v>1503744</v>
      </c>
      <c r="P20" s="16"/>
      <c r="Q20" s="21"/>
    </row>
    <row r="21" spans="1:18" ht="16.5" x14ac:dyDescent="0.25">
      <c r="A21" s="12"/>
      <c r="B21" s="12"/>
      <c r="C21" s="12"/>
      <c r="D21" s="12"/>
      <c r="E21" s="18" t="s">
        <v>11</v>
      </c>
      <c r="F21" s="18">
        <f>SUM(F19:F20)</f>
        <v>24583257.635199197</v>
      </c>
      <c r="G21" s="16"/>
      <c r="H21" s="18" t="s">
        <v>11</v>
      </c>
      <c r="I21" s="18">
        <f>SUM(I19:I20)</f>
        <v>21345096.269599997</v>
      </c>
      <c r="J21" s="16"/>
      <c r="K21" s="18" t="s">
        <v>11</v>
      </c>
      <c r="L21" s="18">
        <f>SUM(L19:L20)</f>
        <v>10231511.6688</v>
      </c>
      <c r="M21" s="16"/>
      <c r="N21" s="18" t="s">
        <v>11</v>
      </c>
      <c r="O21" s="18">
        <f>SUM(O19:O20)</f>
        <v>10902144</v>
      </c>
      <c r="P21" s="16"/>
    </row>
    <row r="25" spans="1:18" x14ac:dyDescent="0.25">
      <c r="E25" s="88" t="s">
        <v>15</v>
      </c>
      <c r="F25" s="88"/>
      <c r="G25" s="88"/>
      <c r="H25" s="88"/>
      <c r="O25" s="88" t="s">
        <v>16</v>
      </c>
      <c r="P25" s="88"/>
      <c r="Q25" s="88"/>
      <c r="R25" s="88"/>
    </row>
    <row r="27" spans="1:18" ht="117" customHeight="1" x14ac:dyDescent="0.25"/>
    <row r="29" spans="1:18" ht="15.75" thickBot="1" x14ac:dyDescent="0.3">
      <c r="E29" s="55"/>
      <c r="F29" s="55"/>
      <c r="G29" s="55"/>
      <c r="H29" s="55"/>
      <c r="O29" s="55"/>
      <c r="P29" s="55"/>
      <c r="Q29" s="55"/>
      <c r="R29" s="55"/>
    </row>
    <row r="30" spans="1:18" x14ac:dyDescent="0.25">
      <c r="E30" s="146" t="s">
        <v>71</v>
      </c>
      <c r="F30" s="147"/>
      <c r="G30" s="147"/>
      <c r="H30" s="147"/>
      <c r="O30" s="146" t="s">
        <v>72</v>
      </c>
      <c r="P30" s="147"/>
      <c r="Q30" s="147"/>
      <c r="R30" s="147"/>
    </row>
    <row r="31" spans="1:18" ht="46.15" customHeight="1" x14ac:dyDescent="0.25">
      <c r="E31" s="147"/>
      <c r="F31" s="147"/>
      <c r="G31" s="147"/>
      <c r="H31" s="147"/>
      <c r="O31" s="147"/>
      <c r="P31" s="147"/>
      <c r="Q31" s="147"/>
      <c r="R31" s="147"/>
    </row>
  </sheetData>
  <mergeCells count="39">
    <mergeCell ref="E25:H25"/>
    <mergeCell ref="E30:H31"/>
    <mergeCell ref="O25:R25"/>
    <mergeCell ref="O30:R31"/>
    <mergeCell ref="Q16:R16"/>
    <mergeCell ref="Q17:R17"/>
    <mergeCell ref="Q18:R18"/>
    <mergeCell ref="H11:I11"/>
    <mergeCell ref="S10:U10"/>
    <mergeCell ref="Q10:R12"/>
    <mergeCell ref="E10:G10"/>
    <mergeCell ref="S11:S12"/>
    <mergeCell ref="T11:T12"/>
    <mergeCell ref="N11:O11"/>
    <mergeCell ref="K11:L11"/>
    <mergeCell ref="U11:U12"/>
    <mergeCell ref="Q15:R15"/>
    <mergeCell ref="K10:M10"/>
    <mergeCell ref="P11:P12"/>
    <mergeCell ref="M11:M12"/>
    <mergeCell ref="J11:J12"/>
    <mergeCell ref="Q13:R13"/>
    <mergeCell ref="Q14:R14"/>
    <mergeCell ref="A1:I4"/>
    <mergeCell ref="H5:I5"/>
    <mergeCell ref="K5:L5"/>
    <mergeCell ref="N5:O5"/>
    <mergeCell ref="H10:J10"/>
    <mergeCell ref="C6:L6"/>
    <mergeCell ref="C9:P9"/>
    <mergeCell ref="A9:B9"/>
    <mergeCell ref="A10:B10"/>
    <mergeCell ref="C10:C12"/>
    <mergeCell ref="D10:D12"/>
    <mergeCell ref="N10:P10"/>
    <mergeCell ref="A11:A12"/>
    <mergeCell ref="B11:B12"/>
    <mergeCell ref="E11:F11"/>
    <mergeCell ref="G11:G12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CD57F-411A-4636-B78C-2421A1BA2446}">
  <sheetPr>
    <pageSetUpPr fitToPage="1"/>
  </sheetPr>
  <dimension ref="A1:S31"/>
  <sheetViews>
    <sheetView tabSelected="1" view="pageBreakPreview" zoomScale="70" zoomScaleNormal="80" zoomScaleSheetLayoutView="70" workbookViewId="0">
      <selection activeCell="C7" sqref="C7"/>
    </sheetView>
  </sheetViews>
  <sheetFormatPr baseColWidth="10" defaultColWidth="11.5703125" defaultRowHeight="15" x14ac:dyDescent="0.25"/>
  <cols>
    <col min="1" max="1" width="13.140625" customWidth="1"/>
    <col min="2" max="2" width="27.28515625" customWidth="1"/>
    <col min="3" max="3" width="12.7109375" customWidth="1"/>
    <col min="4" max="4" width="13.42578125" bestFit="1" customWidth="1"/>
    <col min="5" max="5" width="22.140625" bestFit="1" customWidth="1"/>
    <col min="6" max="6" width="23.42578125" customWidth="1"/>
    <col min="7" max="7" width="12.42578125" customWidth="1"/>
    <col min="8" max="8" width="19" customWidth="1"/>
    <col min="9" max="9" width="21.5703125" customWidth="1"/>
    <col min="10" max="10" width="12.7109375" customWidth="1"/>
    <col min="11" max="11" width="19.85546875" customWidth="1"/>
    <col min="12" max="12" width="22.28515625" customWidth="1"/>
    <col min="13" max="13" width="12" customWidth="1"/>
    <col min="14" max="14" width="22.28515625" customWidth="1"/>
    <col min="15" max="15" width="21.5703125" customWidth="1"/>
    <col min="16" max="16" width="12.28515625" customWidth="1"/>
    <col min="18" max="18" width="7.140625" customWidth="1"/>
    <col min="19" max="19" width="18.5703125" style="33" customWidth="1"/>
    <col min="20" max="20" width="17.140625" customWidth="1"/>
    <col min="21" max="21" width="16.28515625" customWidth="1"/>
  </cols>
  <sheetData>
    <row r="1" spans="1:19" ht="15.75" customHeight="1" x14ac:dyDescent="0.25">
      <c r="A1" s="86"/>
      <c r="B1" s="86"/>
      <c r="C1" s="86"/>
      <c r="D1" s="86"/>
      <c r="E1" s="86"/>
      <c r="F1" s="86"/>
      <c r="G1" s="86"/>
      <c r="H1" s="86"/>
      <c r="I1" s="86"/>
      <c r="J1" s="46"/>
      <c r="K1" s="31"/>
      <c r="L1" s="31"/>
      <c r="M1" s="31"/>
      <c r="N1" s="31"/>
      <c r="O1" s="31"/>
      <c r="P1" s="31"/>
    </row>
    <row r="2" spans="1:19" ht="20.45" customHeight="1" x14ac:dyDescent="0.25">
      <c r="A2" s="86"/>
      <c r="B2" s="86"/>
      <c r="C2" s="86"/>
      <c r="D2" s="86"/>
      <c r="E2" s="86"/>
      <c r="F2" s="86"/>
      <c r="G2" s="86"/>
      <c r="H2" s="86"/>
      <c r="I2" s="86"/>
      <c r="J2" s="46"/>
      <c r="K2" s="3"/>
      <c r="Q2" s="3"/>
    </row>
    <row r="3" spans="1:19" ht="18" x14ac:dyDescent="0.25">
      <c r="A3" s="86"/>
      <c r="B3" s="86"/>
      <c r="C3" s="86"/>
      <c r="D3" s="86"/>
      <c r="E3" s="86"/>
      <c r="F3" s="86"/>
      <c r="G3" s="86"/>
      <c r="H3" s="86"/>
      <c r="I3" s="86"/>
      <c r="J3" s="46"/>
      <c r="K3" s="3"/>
      <c r="L3" s="3"/>
      <c r="M3" s="3"/>
      <c r="N3" s="4"/>
      <c r="O3" s="3" t="s">
        <v>14</v>
      </c>
      <c r="P3" s="3"/>
      <c r="Q3" s="3"/>
    </row>
    <row r="4" spans="1:19" ht="18" x14ac:dyDescent="0.25">
      <c r="A4" s="86"/>
      <c r="B4" s="86"/>
      <c r="C4" s="86"/>
      <c r="D4" s="86"/>
      <c r="E4" s="86"/>
      <c r="F4" s="86"/>
      <c r="G4" s="86"/>
      <c r="H4" s="86"/>
      <c r="I4" s="86"/>
      <c r="J4" s="46"/>
      <c r="K4" s="3"/>
      <c r="L4" s="3"/>
      <c r="M4" s="3"/>
      <c r="N4" s="4"/>
      <c r="O4" s="3"/>
      <c r="P4" s="3"/>
      <c r="Q4" s="3"/>
    </row>
    <row r="5" spans="1:19" ht="18" x14ac:dyDescent="0.25">
      <c r="A5" s="31"/>
      <c r="B5" s="31"/>
      <c r="C5" s="31"/>
      <c r="D5" s="31"/>
      <c r="E5" s="31"/>
      <c r="F5" s="31"/>
      <c r="G5" s="31"/>
      <c r="H5" s="87"/>
      <c r="I5" s="87"/>
      <c r="J5" s="47"/>
      <c r="K5" s="87"/>
      <c r="L5" s="87"/>
      <c r="M5" s="47"/>
      <c r="N5" s="87"/>
      <c r="O5" s="87"/>
      <c r="P5" s="47"/>
      <c r="Q5" s="3"/>
    </row>
    <row r="6" spans="1:19" ht="18" x14ac:dyDescent="0.25">
      <c r="A6" s="1" t="s">
        <v>0</v>
      </c>
      <c r="B6" s="2"/>
      <c r="C6" s="149" t="s">
        <v>78</v>
      </c>
      <c r="D6" s="150"/>
      <c r="E6" s="150"/>
      <c r="F6" s="150"/>
      <c r="G6" s="150"/>
      <c r="H6" s="150"/>
      <c r="I6" s="150"/>
      <c r="J6" s="150"/>
      <c r="K6" s="150"/>
      <c r="L6" s="150"/>
      <c r="M6" s="32"/>
      <c r="N6" s="32"/>
      <c r="O6" s="32"/>
      <c r="P6" s="32"/>
      <c r="Q6" s="3"/>
    </row>
    <row r="7" spans="1:19" ht="18" x14ac:dyDescent="0.25">
      <c r="A7" s="5" t="s">
        <v>1</v>
      </c>
      <c r="B7" s="84" t="s">
        <v>79</v>
      </c>
      <c r="C7" s="32"/>
      <c r="D7" s="32"/>
      <c r="E7" s="32"/>
      <c r="F7" s="32"/>
      <c r="G7" s="32"/>
      <c r="Q7" s="3"/>
    </row>
    <row r="8" spans="1:19" ht="18.75" thickBot="1" x14ac:dyDescent="0.3">
      <c r="A8" s="20"/>
      <c r="B8" s="20"/>
      <c r="C8" s="20"/>
      <c r="D8" s="20"/>
      <c r="E8" s="20"/>
      <c r="H8" s="20"/>
      <c r="K8" s="20"/>
      <c r="N8" s="20"/>
      <c r="Q8" s="7"/>
    </row>
    <row r="9" spans="1:19" ht="37.15" customHeight="1" thickBot="1" x14ac:dyDescent="0.3">
      <c r="A9" s="117" t="s">
        <v>2</v>
      </c>
      <c r="B9" s="115"/>
      <c r="C9" s="115" t="s">
        <v>80</v>
      </c>
      <c r="D9" s="115"/>
      <c r="E9" s="115"/>
      <c r="F9" s="115"/>
      <c r="G9" s="115"/>
      <c r="H9" s="115"/>
      <c r="I9" s="115"/>
      <c r="J9" s="115"/>
      <c r="K9" s="115"/>
      <c r="L9" s="115"/>
      <c r="M9" s="115"/>
      <c r="N9" s="115"/>
      <c r="O9" s="115"/>
      <c r="P9" s="116"/>
      <c r="Q9" s="53"/>
    </row>
    <row r="10" spans="1:19" ht="49.9" customHeight="1" x14ac:dyDescent="0.25">
      <c r="A10" s="118" t="s">
        <v>3</v>
      </c>
      <c r="B10" s="119"/>
      <c r="C10" s="112" t="s">
        <v>4</v>
      </c>
      <c r="D10" s="112" t="s">
        <v>5</v>
      </c>
      <c r="E10" s="139" t="s">
        <v>81</v>
      </c>
      <c r="F10" s="140"/>
      <c r="G10" s="141"/>
      <c r="H10" s="133" t="s">
        <v>11</v>
      </c>
      <c r="I10" s="134"/>
      <c r="J10" s="130" t="s">
        <v>22</v>
      </c>
      <c r="K10" s="131"/>
      <c r="L10" s="132"/>
      <c r="S10"/>
    </row>
    <row r="11" spans="1:19" ht="31.15" customHeight="1" x14ac:dyDescent="0.25">
      <c r="A11" s="118" t="s">
        <v>6</v>
      </c>
      <c r="B11" s="119" t="s">
        <v>7</v>
      </c>
      <c r="C11" s="112"/>
      <c r="D11" s="112"/>
      <c r="E11" s="119" t="s">
        <v>8</v>
      </c>
      <c r="F11" s="119"/>
      <c r="G11" s="124" t="s">
        <v>60</v>
      </c>
      <c r="H11" s="135"/>
      <c r="I11" s="136"/>
      <c r="J11" s="142" t="s">
        <v>76</v>
      </c>
      <c r="K11" s="142" t="s">
        <v>75</v>
      </c>
      <c r="L11" s="144" t="s">
        <v>77</v>
      </c>
      <c r="S11"/>
    </row>
    <row r="12" spans="1:19" ht="51.6" customHeight="1" thickBot="1" x14ac:dyDescent="0.3">
      <c r="A12" s="95"/>
      <c r="B12" s="97"/>
      <c r="C12" s="124"/>
      <c r="D12" s="124"/>
      <c r="E12" s="73" t="s">
        <v>10</v>
      </c>
      <c r="F12" s="73" t="s">
        <v>11</v>
      </c>
      <c r="G12" s="102"/>
      <c r="H12" s="137"/>
      <c r="I12" s="138"/>
      <c r="J12" s="143"/>
      <c r="K12" s="143"/>
      <c r="L12" s="145"/>
      <c r="S12"/>
    </row>
    <row r="13" spans="1:19" ht="33" x14ac:dyDescent="0.25">
      <c r="A13" s="74" t="s">
        <v>82</v>
      </c>
      <c r="B13" s="75" t="s">
        <v>83</v>
      </c>
      <c r="C13" s="76" t="s">
        <v>84</v>
      </c>
      <c r="D13" s="77" t="s">
        <v>85</v>
      </c>
      <c r="E13" s="78" t="s">
        <v>86</v>
      </c>
      <c r="F13" s="78" t="s">
        <v>90</v>
      </c>
      <c r="G13" s="79"/>
      <c r="H13" s="151" t="s">
        <v>90</v>
      </c>
      <c r="I13" s="148"/>
      <c r="J13" s="80" t="e">
        <f>+H13+#REF!+#REF!</f>
        <v>#VALUE!</v>
      </c>
      <c r="K13" s="81" t="e">
        <f>+#REF!</f>
        <v>#REF!</v>
      </c>
      <c r="L13" s="81" t="e">
        <f>+#REF!+#REF!</f>
        <v>#REF!</v>
      </c>
      <c r="S13"/>
    </row>
    <row r="14" spans="1:19" ht="16.5" x14ac:dyDescent="0.25">
      <c r="A14" s="12"/>
      <c r="B14" s="13"/>
      <c r="C14" s="45"/>
      <c r="D14" s="12"/>
      <c r="E14" s="14" t="s">
        <v>12</v>
      </c>
      <c r="F14" s="82" t="s">
        <v>88</v>
      </c>
      <c r="G14" s="16"/>
      <c r="H14" s="21"/>
      <c r="J14" s="33"/>
      <c r="S14"/>
    </row>
    <row r="15" spans="1:19" ht="16.5" x14ac:dyDescent="0.25">
      <c r="A15" s="12"/>
      <c r="B15" s="13"/>
      <c r="C15" s="12"/>
      <c r="D15" s="12"/>
      <c r="E15" s="17" t="s">
        <v>13</v>
      </c>
      <c r="F15" s="83" t="s">
        <v>89</v>
      </c>
      <c r="G15" s="16"/>
      <c r="H15" s="21"/>
      <c r="J15" s="48"/>
      <c r="S15"/>
    </row>
    <row r="16" spans="1:19" ht="16.5" x14ac:dyDescent="0.25">
      <c r="A16" s="12"/>
      <c r="B16" s="12"/>
      <c r="C16" s="12"/>
      <c r="D16" s="12"/>
      <c r="E16" s="18" t="s">
        <v>11</v>
      </c>
      <c r="F16" s="83" t="s">
        <v>87</v>
      </c>
      <c r="G16" s="16"/>
      <c r="H16" s="18" t="s">
        <v>11</v>
      </c>
      <c r="I16" s="83" t="e">
        <f>SUM(#REF!)</f>
        <v>#REF!</v>
      </c>
      <c r="J16" s="33"/>
      <c r="S16"/>
    </row>
    <row r="17" spans="5:19" x14ac:dyDescent="0.25">
      <c r="J17" s="33"/>
      <c r="S17"/>
    </row>
    <row r="18" spans="5:19" ht="45" customHeight="1" x14ac:dyDescent="0.25">
      <c r="J18" s="33"/>
      <c r="S18"/>
    </row>
    <row r="19" spans="5:19" x14ac:dyDescent="0.25">
      <c r="J19" s="33"/>
      <c r="S19"/>
    </row>
    <row r="20" spans="5:19" x14ac:dyDescent="0.25">
      <c r="E20" s="88" t="s">
        <v>15</v>
      </c>
      <c r="F20" s="88"/>
      <c r="G20" s="88"/>
      <c r="H20" s="88"/>
      <c r="J20" s="33"/>
      <c r="S20"/>
    </row>
    <row r="21" spans="5:19" ht="16.5" x14ac:dyDescent="0.25">
      <c r="J21" s="16"/>
      <c r="M21" s="33"/>
      <c r="S21"/>
    </row>
    <row r="24" spans="5:19" ht="15.75" thickBot="1" x14ac:dyDescent="0.3">
      <c r="E24" s="55"/>
      <c r="F24" s="55"/>
      <c r="G24" s="55"/>
      <c r="H24" s="55"/>
    </row>
    <row r="25" spans="5:19" x14ac:dyDescent="0.25">
      <c r="E25" s="146" t="s">
        <v>71</v>
      </c>
      <c r="F25" s="147"/>
      <c r="G25" s="147"/>
      <c r="H25" s="147"/>
      <c r="O25" s="88" t="s">
        <v>16</v>
      </c>
      <c r="P25" s="88"/>
      <c r="Q25" s="88"/>
      <c r="R25" s="88"/>
    </row>
    <row r="26" spans="5:19" x14ac:dyDescent="0.25">
      <c r="E26" s="147"/>
      <c r="F26" s="147"/>
      <c r="G26" s="147"/>
      <c r="H26" s="147"/>
    </row>
    <row r="27" spans="5:19" ht="117" customHeight="1" x14ac:dyDescent="0.25"/>
    <row r="29" spans="5:19" ht="15.75" thickBot="1" x14ac:dyDescent="0.3">
      <c r="O29" s="55"/>
      <c r="P29" s="55"/>
      <c r="Q29" s="55"/>
      <c r="R29" s="55"/>
    </row>
    <row r="30" spans="5:19" x14ac:dyDescent="0.25">
      <c r="O30" s="146" t="s">
        <v>72</v>
      </c>
      <c r="P30" s="147"/>
      <c r="Q30" s="147"/>
      <c r="R30" s="147"/>
    </row>
    <row r="31" spans="5:19" ht="46.15" customHeight="1" x14ac:dyDescent="0.25">
      <c r="O31" s="147"/>
      <c r="P31" s="147"/>
      <c r="Q31" s="147"/>
      <c r="R31" s="147"/>
    </row>
  </sheetData>
  <mergeCells count="25">
    <mergeCell ref="K11:K12"/>
    <mergeCell ref="L11:L12"/>
    <mergeCell ref="E25:H26"/>
    <mergeCell ref="O30:R31"/>
    <mergeCell ref="E20:H20"/>
    <mergeCell ref="O25:R25"/>
    <mergeCell ref="J10:L10"/>
    <mergeCell ref="A11:A12"/>
    <mergeCell ref="B11:B12"/>
    <mergeCell ref="E11:F11"/>
    <mergeCell ref="G11:G12"/>
    <mergeCell ref="A10:B10"/>
    <mergeCell ref="C10:C12"/>
    <mergeCell ref="D10:D12"/>
    <mergeCell ref="E10:G10"/>
    <mergeCell ref="J11:J12"/>
    <mergeCell ref="A1:I4"/>
    <mergeCell ref="H5:I5"/>
    <mergeCell ref="K5:L5"/>
    <mergeCell ref="H13:I13"/>
    <mergeCell ref="H10:I12"/>
    <mergeCell ref="N5:O5"/>
    <mergeCell ref="C6:L6"/>
    <mergeCell ref="A9:B9"/>
    <mergeCell ref="C9:P9"/>
  </mergeCells>
  <pageMargins left="0.70866141732283472" right="0.70866141732283472" top="1.3385826771653544" bottom="0.74803149606299213" header="0.31496062992125984" footer="0.31496062992125984"/>
  <pageSetup scale="34" orientation="landscape" r:id="rId1"/>
  <headerFooter>
    <oddHeader>&amp;L&amp;G&amp;R&amp;G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DB06B6-BF24-4F77-96C8-B3B40CB345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Hoja1</vt:lpstr>
      <vt:lpstr>mod</vt:lpstr>
      <vt:lpstr>E.M. FINAL</vt:lpstr>
      <vt:lpstr>'E.M. FINAL'!Área_de_impresión</vt:lpstr>
      <vt:lpstr>Hoja1!Área_de_impresión</vt:lpstr>
      <vt:lpstr>mod!Área_de_impresión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Orlando Ramos Perez</cp:lastModifiedBy>
  <cp:lastPrinted>2025-11-25T17:14:27Z</cp:lastPrinted>
  <dcterms:created xsi:type="dcterms:W3CDTF">2025-02-17T21:08:02Z</dcterms:created>
  <dcterms:modified xsi:type="dcterms:W3CDTF">2026-05-19T19:10:16Z</dcterms:modified>
</cp:coreProperties>
</file>